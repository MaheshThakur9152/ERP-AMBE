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hesh april bill" sheetId="1" r:id="rId4"/>
    <sheet state="visible" name="support 002 proforma material" sheetId="2" r:id="rId5"/>
    <sheet state="visible" name="Sheet1" sheetId="3" r:id="rId6"/>
    <sheet state="visible" name="NEERAJ WALA SUPPORTERT" sheetId="4" r:id="rId7"/>
    <sheet state="visible" name="SUPPORTER OF LKCPL OFFICE" sheetId="5" r:id="rId8"/>
    <sheet state="visible" name="NEERAJ" sheetId="6" r:id="rId9"/>
    <sheet state="visible" name="42-ASF - Min CHS" sheetId="7" r:id="rId10"/>
    <sheet state="visible" name="43-ASF-MIN CHS" sheetId="8" r:id="rId11"/>
    <sheet state="visible" name="Copy of 43-ASF-MIN CHS" sheetId="9" r:id="rId12"/>
    <sheet state="visible" name="Copy of Copy of 43-ASF-MIN CHS" sheetId="10" r:id="rId13"/>
  </sheets>
  <definedNames/>
  <calcPr/>
  <extLst>
    <ext uri="GoogleSheetsCustomDataVersion2">
      <go:sheetsCustomData xmlns:go="http://customooxmlschemas.google.com/" r:id="rId14" roundtripDataChecksum="jGRKJ4Od70VZnSaxHwEORA9GGGD9cuuCW+97NtI7YLg="/>
    </ext>
  </extLst>
</workbook>
</file>

<file path=xl/sharedStrings.xml><?xml version="1.0" encoding="utf-8"?>
<sst xmlns="http://schemas.openxmlformats.org/spreadsheetml/2006/main" count="596" uniqueCount="150">
  <si>
    <t>BHAGWATI ENTERPRISES</t>
  </si>
  <si>
    <t>Invoice No.: BE/26-27/01</t>
  </si>
  <si>
    <t>Dated :05-May-2026</t>
  </si>
  <si>
    <t xml:space="preserve">Room no. 51, markandeshwar nagar, worli, Mumbai </t>
  </si>
  <si>
    <t>Challan No :</t>
  </si>
  <si>
    <t>01/26-27</t>
  </si>
  <si>
    <t>Maharashtra - 400014, India.</t>
  </si>
  <si>
    <t xml:space="preserve">Challan Date : </t>
  </si>
  <si>
    <t>15/04/2026</t>
  </si>
  <si>
    <t>GSTIN : 27AMSPT0137F1ZT</t>
  </si>
  <si>
    <t>Reference No &amp; Date</t>
  </si>
  <si>
    <t>Other References</t>
  </si>
  <si>
    <t>State Name : Maharashtra, code : 27</t>
  </si>
  <si>
    <t>Contact No: 9619607537</t>
  </si>
  <si>
    <t>Buyer's Order No.</t>
  </si>
  <si>
    <t>Dated</t>
  </si>
  <si>
    <t>Email : bhagwatienterprises143@gmail.com</t>
  </si>
  <si>
    <t>Buyer (Bill to)</t>
  </si>
  <si>
    <t>Dispatch Doc No.</t>
  </si>
  <si>
    <t>Delivery Noted Date</t>
  </si>
  <si>
    <t>Ambe Service Facilities Private Limited</t>
  </si>
  <si>
    <t xml:space="preserve">Shop No - 49 A, Ground Floor, Pooja Enclave CHS Ltd, </t>
  </si>
  <si>
    <t>Dispatched through</t>
  </si>
  <si>
    <t xml:space="preserve">Destination : </t>
  </si>
  <si>
    <t>Ganesh Nagar, Kandivali (West), Mumbai 400 067.</t>
  </si>
  <si>
    <t>Minerva  Tower</t>
  </si>
  <si>
    <t>GSTIN :  27AAZCA5609F1ZA</t>
  </si>
  <si>
    <t>Terms of Delivery</t>
  </si>
  <si>
    <t xml:space="preserve">Sr No </t>
  </si>
  <si>
    <t xml:space="preserve">Description of Goods </t>
  </si>
  <si>
    <t xml:space="preserve">HSN/SAC </t>
  </si>
  <si>
    <t>GST Rate</t>
  </si>
  <si>
    <t>Rate</t>
  </si>
  <si>
    <t>Quantity</t>
  </si>
  <si>
    <t>per</t>
  </si>
  <si>
    <t>Amount</t>
  </si>
  <si>
    <t>plastic bucket 16L</t>
  </si>
  <si>
    <t>Nos</t>
  </si>
  <si>
    <t xml:space="preserve">Microfibre dry mop full set </t>
  </si>
  <si>
    <t>Sunny Phenyl 5 Ltr</t>
  </si>
  <si>
    <t>can</t>
  </si>
  <si>
    <t>Toilet Cleaner 5Ltr</t>
  </si>
  <si>
    <t>Garbage bag 29x39</t>
  </si>
  <si>
    <t>Roll</t>
  </si>
  <si>
    <t>Soft Broom</t>
  </si>
  <si>
    <t xml:space="preserve">microfibre duster blue </t>
  </si>
  <si>
    <t xml:space="preserve">Face Mask </t>
  </si>
  <si>
    <t>Hand Gloves</t>
  </si>
  <si>
    <t>Pair</t>
  </si>
  <si>
    <t xml:space="preserve">Scrapper big Handle </t>
  </si>
  <si>
    <t xml:space="preserve">Microfiber wet  Mop full set </t>
  </si>
  <si>
    <t>feather brush</t>
  </si>
  <si>
    <t>Total Good's Amount (A)</t>
  </si>
  <si>
    <t>CGST 9%</t>
  </si>
  <si>
    <t>%</t>
  </si>
  <si>
    <t>SGST 9%</t>
  </si>
  <si>
    <t>Total GST Amount of Good's (B)</t>
  </si>
  <si>
    <t>AMOUNT(A+B)</t>
  </si>
  <si>
    <t>Round off (+-)</t>
  </si>
  <si>
    <t>TOTAL AMOUNT</t>
  </si>
  <si>
    <t>Total Invoice Amount in words (INR) :</t>
  </si>
  <si>
    <t>Twenty Seven Thousand Nine Hundred And Twenty Four Only</t>
  </si>
  <si>
    <t>Company's Bank Details:
Bank Name: Union Bank Of India
Acc No. : 033021010000209
Branch &amp; IFSC Code : Kandivali West &amp; UBIN0903302</t>
  </si>
  <si>
    <t xml:space="preserve">                               For Bhagwati Enterprises
                                   Authorized Signatory           </t>
  </si>
  <si>
    <t>Udyam Reg. No : UDYAM-MH-18-0108068</t>
  </si>
  <si>
    <t>Invoice No.: BE/26-27/02</t>
  </si>
  <si>
    <t>02/26-27</t>
  </si>
  <si>
    <t xml:space="preserve">Dettol Handwash </t>
  </si>
  <si>
    <t>Ltr</t>
  </si>
  <si>
    <t xml:space="preserve">M fold Bright </t>
  </si>
  <si>
    <t>Box</t>
  </si>
  <si>
    <t xml:space="preserve">Vim Liquid </t>
  </si>
  <si>
    <t>wet mop flat with 5 ft rod</t>
  </si>
  <si>
    <t>Harpic Flushmatic single</t>
  </si>
  <si>
    <t>Colin 500ml</t>
  </si>
  <si>
    <t>Ala 500ml</t>
  </si>
  <si>
    <t>Bottle</t>
  </si>
  <si>
    <t>Godrej Air pocket Mix</t>
  </si>
  <si>
    <t>NOS</t>
  </si>
  <si>
    <t>Eight Thousand Eight Hundred and Eighty One Only</t>
  </si>
  <si>
    <t>Invoice No.: BE/26-27/03</t>
  </si>
  <si>
    <t>03/26-27</t>
  </si>
  <si>
    <r>
      <rPr>
        <rFont val="Calibri"/>
        <color theme="1"/>
        <sz val="10.0"/>
      </rPr>
      <t>Dettol Hand wash 1ltr</t>
    </r>
  </si>
  <si>
    <r>
      <rPr>
        <rFont val="Calibri"/>
        <color theme="1"/>
        <sz val="10.0"/>
      </rPr>
      <t>BTL</t>
    </r>
  </si>
  <si>
    <r>
      <rPr>
        <rFont val="Calibri"/>
        <color theme="1"/>
        <sz val="10.0"/>
      </rPr>
      <t>Toilet roll (1 box = 60 nos)</t>
    </r>
  </si>
  <si>
    <r>
      <rPr>
        <rFont val="Calibri"/>
        <color theme="1"/>
        <sz val="10.0"/>
      </rPr>
      <t>Nos</t>
    </r>
  </si>
  <si>
    <r>
      <rPr>
        <rFont val="Calibri"/>
        <color theme="1"/>
        <sz val="10.0"/>
      </rPr>
      <t>M fold tissue box</t>
    </r>
  </si>
  <si>
    <r>
      <rPr>
        <rFont val="Calibri"/>
        <color theme="1"/>
        <sz val="10.0"/>
      </rPr>
      <t>Box</t>
    </r>
  </si>
  <si>
    <r>
      <rPr>
        <rFont val="Calibri"/>
        <color theme="1"/>
        <sz val="10.0"/>
      </rPr>
      <t>Garbage bag 19x21</t>
    </r>
  </si>
  <si>
    <r>
      <rPr>
        <rFont val="Calibri"/>
        <color theme="1"/>
        <sz val="10.0"/>
      </rPr>
      <t>Roll</t>
    </r>
  </si>
  <si>
    <r>
      <rPr>
        <rFont val="Calibri"/>
        <color theme="1"/>
        <sz val="10.0"/>
      </rPr>
      <t>Garbage bag 29x39</t>
    </r>
  </si>
  <si>
    <r>
      <rPr>
        <rFont val="Calibri"/>
        <color theme="1"/>
        <sz val="10.0"/>
      </rPr>
      <t>Roll</t>
    </r>
  </si>
  <si>
    <r>
      <rPr>
        <rFont val="Calibri"/>
        <color theme="1"/>
        <sz val="10.0"/>
      </rPr>
      <t>Color Goli</t>
    </r>
  </si>
  <si>
    <r>
      <rPr>
        <rFont val="Calibri"/>
        <color theme="1"/>
        <sz val="10.0"/>
      </rPr>
      <t>Pkt</t>
    </r>
  </si>
  <si>
    <r>
      <rPr>
        <rFont val="Calibri"/>
        <color theme="1"/>
        <sz val="10.0"/>
      </rPr>
      <t>Microfibre Duster Green</t>
    </r>
  </si>
  <si>
    <r>
      <rPr>
        <rFont val="Calibri"/>
        <color theme="1"/>
        <sz val="10.0"/>
      </rPr>
      <t>Nos</t>
    </r>
  </si>
  <si>
    <r>
      <rPr>
        <rFont val="Calibri"/>
        <color theme="1"/>
        <sz val="10.0"/>
      </rPr>
      <t>Floor Wiper</t>
    </r>
  </si>
  <si>
    <r>
      <rPr>
        <rFont val="Calibri"/>
        <color theme="1"/>
        <sz val="10.0"/>
      </rPr>
      <t>Set</t>
    </r>
  </si>
  <si>
    <r>
      <rPr>
        <rFont val="Calibri"/>
        <color theme="1"/>
        <sz val="10.0"/>
      </rPr>
      <t>Door Mat Green</t>
    </r>
  </si>
  <si>
    <r>
      <rPr>
        <rFont val="Calibri"/>
        <color theme="1"/>
        <sz val="10.0"/>
      </rPr>
      <t>Sqft</t>
    </r>
  </si>
  <si>
    <r>
      <rPr>
        <rFont val="Calibri"/>
        <color theme="1"/>
        <sz val="10.0"/>
      </rPr>
      <t>Fourteen Thousand Two Hundred and Eighty Nine Only</t>
    </r>
  </si>
  <si>
    <t>Invoice No.: BE/26-27/04</t>
  </si>
  <si>
    <t>Dated : 15-05-2026</t>
  </si>
  <si>
    <t>04/26-27</t>
  </si>
  <si>
    <t>20/03/2026</t>
  </si>
  <si>
    <t>307 ceejay House</t>
  </si>
  <si>
    <t>Small Garbage bag 19x21</t>
  </si>
  <si>
    <t>Microfibre Wet mop Refill</t>
  </si>
  <si>
    <t>Five Thousand Eight Hundred And Ninety Six only</t>
  </si>
  <si>
    <t>Invoice No.: BE/25-26/041</t>
  </si>
  <si>
    <t>Dated :02/03/2026</t>
  </si>
  <si>
    <t>36/25-26</t>
  </si>
  <si>
    <t>10/02/2026</t>
  </si>
  <si>
    <t>Minerva Tower-9th</t>
  </si>
  <si>
    <r>
      <rPr>
        <rFont val="Calibri"/>
        <color theme="1"/>
        <sz val="10.0"/>
      </rPr>
      <t>Dettol Hand wash 1ltr</t>
    </r>
  </si>
  <si>
    <r>
      <rPr>
        <rFont val="Calibri"/>
        <color theme="1"/>
        <sz val="10.0"/>
      </rPr>
      <t>BTL</t>
    </r>
  </si>
  <si>
    <r>
      <rPr>
        <rFont val="Calibri"/>
        <color theme="1"/>
        <sz val="10.0"/>
      </rPr>
      <t>Toilet roll (1 box = 60 nos)</t>
    </r>
  </si>
  <si>
    <r>
      <rPr>
        <rFont val="Calibri"/>
        <color theme="1"/>
        <sz val="10.0"/>
      </rPr>
      <t>Nos</t>
    </r>
  </si>
  <si>
    <r>
      <rPr>
        <rFont val="Calibri"/>
        <color theme="1"/>
        <sz val="10.0"/>
      </rPr>
      <t>M fold tissue box</t>
    </r>
  </si>
  <si>
    <r>
      <rPr>
        <rFont val="Calibri"/>
        <color theme="1"/>
        <sz val="10.0"/>
      </rPr>
      <t>Box</t>
    </r>
  </si>
  <si>
    <r>
      <rPr>
        <rFont val="Calibri"/>
        <color theme="1"/>
        <sz val="10.0"/>
      </rPr>
      <t>Garbage bag 19x21</t>
    </r>
  </si>
  <si>
    <r>
      <rPr>
        <rFont val="Calibri"/>
        <color theme="1"/>
        <sz val="10.0"/>
      </rPr>
      <t>Roll</t>
    </r>
  </si>
  <si>
    <r>
      <rPr>
        <rFont val="Calibri"/>
        <color theme="1"/>
        <sz val="10.0"/>
      </rPr>
      <t>Garbage bag 29x39</t>
    </r>
  </si>
  <si>
    <r>
      <rPr>
        <rFont val="Calibri"/>
        <color theme="1"/>
        <sz val="10.0"/>
      </rPr>
      <t>Roll</t>
    </r>
  </si>
  <si>
    <r>
      <rPr>
        <rFont val="Calibri"/>
        <color theme="1"/>
        <sz val="10.0"/>
      </rPr>
      <t>Color Goli</t>
    </r>
  </si>
  <si>
    <r>
      <rPr>
        <rFont val="Calibri"/>
        <color theme="1"/>
        <sz val="10.0"/>
      </rPr>
      <t>Pkt</t>
    </r>
  </si>
  <si>
    <r>
      <rPr>
        <rFont val="Calibri"/>
        <color theme="1"/>
        <sz val="10.0"/>
      </rPr>
      <t>Microfibre Duster Green</t>
    </r>
  </si>
  <si>
    <r>
      <rPr>
        <rFont val="Calibri"/>
        <color theme="1"/>
        <sz val="10.0"/>
      </rPr>
      <t>Nos</t>
    </r>
  </si>
  <si>
    <r>
      <rPr>
        <rFont val="Calibri"/>
        <color theme="1"/>
        <sz val="10.0"/>
      </rPr>
      <t>Floor Wiper</t>
    </r>
  </si>
  <si>
    <r>
      <rPr>
        <rFont val="Calibri"/>
        <color theme="1"/>
        <sz val="10.0"/>
      </rPr>
      <t>Set</t>
    </r>
  </si>
  <si>
    <r>
      <rPr>
        <rFont val="Calibri"/>
        <color theme="1"/>
        <sz val="10.0"/>
      </rPr>
      <t>Door Mat Green</t>
    </r>
  </si>
  <si>
    <r>
      <rPr>
        <rFont val="Calibri"/>
        <color theme="1"/>
        <sz val="10.0"/>
      </rPr>
      <t>Sqft</t>
    </r>
  </si>
  <si>
    <t>Eighteen Thousand Five Hundred and Twenty Only</t>
  </si>
  <si>
    <t>Invoice No.: BE/25-26/042</t>
  </si>
  <si>
    <t>37/25-26</t>
  </si>
  <si>
    <t>16/02/2026</t>
  </si>
  <si>
    <t xml:space="preserve">Minerva Tower </t>
  </si>
  <si>
    <t>Floor Cleaner 5Ltr</t>
  </si>
  <si>
    <t xml:space="preserve">Hard Broom </t>
  </si>
  <si>
    <t>Garbage Bag 29x39</t>
  </si>
  <si>
    <t>CGST 0%</t>
  </si>
  <si>
    <t>SGST 0%</t>
  </si>
  <si>
    <t>`</t>
  </si>
  <si>
    <t>Seven Thousand Eight Hundred and  Eight Only</t>
  </si>
  <si>
    <t>Invoice No.: BE/25-26/043</t>
  </si>
  <si>
    <t>38/25-26</t>
  </si>
  <si>
    <t>Garbage bag 19x21</t>
  </si>
  <si>
    <t>Microfibre duster</t>
  </si>
  <si>
    <t xml:space="preserve">Scotch brite </t>
  </si>
  <si>
    <t>Nine Thousand Five Hundred and Thirty Five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</si>
</sst>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theme="1"/>
      <name val="Calibri"/>
      <scheme val="minor"/>
    </font>
    <font>
      <sz val="18.0"/>
      <color rgb="FFFF0000"/>
      <name val="Calibri"/>
    </font>
    <font>
      <sz val="18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0.0"/>
      <color theme="1"/>
      <name val="Calibri"/>
    </font>
    <font>
      <b/>
      <sz val="11.0"/>
      <color rgb="FF0C0C0C"/>
      <name val="Calibri"/>
    </font>
    <font>
      <b/>
      <sz val="10.0"/>
      <color theme="1"/>
      <name val="Calibri"/>
    </font>
    <font>
      <color theme="1"/>
      <name val="Calibri"/>
    </font>
    <font>
      <sz val="11.0"/>
      <color rgb="FF1B1D1D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9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readingOrder="0"/>
    </xf>
    <xf borderId="4" fillId="0" fontId="4" numFmtId="0" xfId="0" applyBorder="1" applyFont="1"/>
    <xf borderId="5" fillId="0" fontId="3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1" fillId="0" fontId="3" numFmtId="0" xfId="0" applyAlignment="1" applyBorder="1" applyFont="1">
      <alignment vertical="top"/>
    </xf>
    <xf borderId="2" fillId="0" fontId="3" numFmtId="0" xfId="0" applyAlignment="1" applyBorder="1" applyFont="1">
      <alignment vertical="top"/>
    </xf>
    <xf borderId="0" fillId="0" fontId="5" numFmtId="0" xfId="0" applyAlignment="1" applyFont="1">
      <alignment readingOrder="0"/>
    </xf>
    <xf borderId="6" fillId="0" fontId="3" numFmtId="0" xfId="0" applyAlignment="1" applyBorder="1" applyFont="1">
      <alignment vertical="top"/>
    </xf>
    <xf borderId="5" fillId="0" fontId="3" numFmtId="0" xfId="0" applyBorder="1" applyFont="1"/>
    <xf borderId="7" fillId="0" fontId="3" numFmtId="0" xfId="0" applyAlignment="1" applyBorder="1" applyFont="1">
      <alignment horizontal="left"/>
    </xf>
    <xf borderId="8" fillId="0" fontId="3" numFmtId="0" xfId="0" applyAlignment="1" applyBorder="1" applyFont="1">
      <alignment horizontal="left"/>
    </xf>
    <xf borderId="7" fillId="0" fontId="3" numFmtId="49" xfId="0" applyAlignment="1" applyBorder="1" applyFont="1" applyNumberFormat="1">
      <alignment horizontal="left" readingOrder="0"/>
    </xf>
    <xf borderId="9" fillId="0" fontId="4" numFmtId="0" xfId="0" applyBorder="1" applyFont="1"/>
    <xf borderId="5" fillId="0" fontId="3" numFmtId="0" xfId="0" applyAlignment="1" applyBorder="1" applyFont="1">
      <alignment horizontal="left"/>
    </xf>
    <xf borderId="10" fillId="0" fontId="3" numFmtId="0" xfId="0" applyAlignment="1" applyBorder="1" applyFont="1">
      <alignment horizontal="left"/>
    </xf>
    <xf borderId="7" fillId="0" fontId="3" numFmtId="0" xfId="0" applyAlignment="1" applyBorder="1" applyFont="1">
      <alignment vertical="top"/>
    </xf>
    <xf borderId="8" fillId="0" fontId="3" numFmtId="0" xfId="0" applyBorder="1" applyFont="1"/>
    <xf borderId="7" fillId="0" fontId="3" numFmtId="0" xfId="0" applyBorder="1" applyFont="1"/>
    <xf borderId="9" fillId="0" fontId="3" numFmtId="0" xfId="0" applyBorder="1" applyFont="1"/>
    <xf borderId="0" fillId="0" fontId="3" numFmtId="0" xfId="0" applyAlignment="1" applyFont="1">
      <alignment vertical="top"/>
    </xf>
    <xf borderId="5" fillId="0" fontId="6" numFmtId="0" xfId="0" applyAlignment="1" applyBorder="1" applyFont="1">
      <alignment horizontal="left" vertical="top"/>
    </xf>
    <xf borderId="10" fillId="0" fontId="3" numFmtId="0" xfId="0" applyBorder="1" applyFont="1"/>
    <xf borderId="5" fillId="0" fontId="3" numFmtId="0" xfId="0" applyAlignment="1" applyBorder="1" applyFont="1">
      <alignment vertical="top"/>
    </xf>
    <xf borderId="10" fillId="0" fontId="3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vertical="top"/>
    </xf>
    <xf borderId="1" fillId="0" fontId="3" numFmtId="0" xfId="0" applyBorder="1" applyFont="1"/>
    <xf borderId="2" fillId="0" fontId="3" numFmtId="0" xfId="0" applyBorder="1" applyFont="1"/>
    <xf borderId="5" fillId="0" fontId="6" numFmtId="0" xfId="0" applyAlignment="1" applyBorder="1" applyFont="1">
      <alignment horizontal="left"/>
    </xf>
    <xf borderId="10" fillId="0" fontId="6" numFmtId="0" xfId="0" applyAlignment="1" applyBorder="1" applyFont="1">
      <alignment horizontal="left"/>
    </xf>
    <xf borderId="5" fillId="0" fontId="7" numFmtId="0" xfId="0" applyAlignment="1" applyBorder="1" applyFont="1">
      <alignment horizontal="left"/>
    </xf>
    <xf borderId="10" fillId="0" fontId="4" numFmtId="0" xfId="0" applyBorder="1" applyFont="1"/>
    <xf borderId="1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left"/>
    </xf>
    <xf borderId="10" fillId="0" fontId="6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vertical="top"/>
    </xf>
    <xf borderId="7" fillId="0" fontId="8" numFmtId="0" xfId="0" applyAlignment="1" applyBorder="1" applyFont="1">
      <alignment horizontal="left" readingOrder="0"/>
    </xf>
    <xf borderId="6" fillId="0" fontId="3" numFmtId="0" xfId="0" applyBorder="1" applyFont="1"/>
    <xf borderId="3" fillId="0" fontId="3" numFmtId="0" xfId="0" applyBorder="1" applyFont="1"/>
    <xf borderId="11" fillId="0" fontId="3" numFmtId="0" xfId="0" applyBorder="1" applyFont="1"/>
    <xf borderId="11" fillId="0" fontId="3" numFmtId="0" xfId="0" applyAlignment="1" applyBorder="1" applyFont="1">
      <alignment horizontal="left"/>
    </xf>
    <xf borderId="12" fillId="0" fontId="6" numFmtId="0" xfId="0" applyBorder="1" applyFont="1"/>
    <xf borderId="13" fillId="0" fontId="3" numFmtId="0" xfId="0" applyAlignment="1" applyBorder="1" applyFont="1">
      <alignment vertical="bottom"/>
    </xf>
    <xf borderId="10" fillId="0" fontId="3" numFmtId="1" xfId="0" applyAlignment="1" applyBorder="1" applyFont="1" applyNumberFormat="1">
      <alignment horizontal="center" vertical="bottom"/>
    </xf>
    <xf borderId="13" fillId="0" fontId="3" numFmtId="9" xfId="0" applyAlignment="1" applyBorder="1" applyFont="1" applyNumberFormat="1">
      <alignment horizontal="center" vertical="bottom"/>
    </xf>
    <xf borderId="5" fillId="0" fontId="3" numFmtId="1" xfId="0" applyAlignment="1" applyBorder="1" applyFont="1" applyNumberFormat="1">
      <alignment horizontal="center" vertical="bottom"/>
    </xf>
    <xf borderId="13" fillId="0" fontId="3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5" fillId="0" fontId="6" numFmtId="0" xfId="0" applyBorder="1" applyFont="1"/>
    <xf borderId="0" fillId="0" fontId="3" numFmtId="1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13" fillId="0" fontId="9" numFmtId="0" xfId="0" applyBorder="1" applyFont="1"/>
    <xf borderId="10" fillId="0" fontId="9" numFmtId="1" xfId="0" applyAlignment="1" applyBorder="1" applyFont="1" applyNumberFormat="1">
      <alignment horizontal="center" vertical="top"/>
    </xf>
    <xf borderId="13" fillId="0" fontId="9" numFmtId="9" xfId="0" applyAlignment="1" applyBorder="1" applyFont="1" applyNumberFormat="1">
      <alignment horizontal="center"/>
    </xf>
    <xf borderId="5" fillId="0" fontId="9" numFmtId="0" xfId="0" applyAlignment="1" applyBorder="1" applyFont="1">
      <alignment horizontal="center" vertical="top"/>
    </xf>
    <xf borderId="13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3" fillId="0" fontId="9" numFmtId="0" xfId="0" applyAlignment="1" applyBorder="1" applyFont="1">
      <alignment horizontal="center" vertical="bottom"/>
    </xf>
    <xf borderId="10" fillId="0" fontId="3" numFmtId="1" xfId="0" applyAlignment="1" applyBorder="1" applyFont="1" applyNumberFormat="1">
      <alignment horizontal="center" shrinkToFit="0" vertical="bottom" wrapText="1"/>
    </xf>
    <xf borderId="13" fillId="0" fontId="3" numFmtId="9" xfId="0" applyAlignment="1" applyBorder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bottom" wrapText="1"/>
    </xf>
    <xf borderId="13" fillId="0" fontId="3" numFmtId="0" xfId="0" applyBorder="1" applyFont="1"/>
    <xf borderId="10" fillId="0" fontId="9" numFmtId="1" xfId="0" applyAlignment="1" applyBorder="1" applyFont="1" applyNumberFormat="1">
      <alignment horizontal="center"/>
    </xf>
    <xf borderId="5" fillId="0" fontId="9" numFmtId="0" xfId="0" applyAlignment="1" applyBorder="1" applyFont="1">
      <alignment horizontal="center"/>
    </xf>
    <xf borderId="13" fillId="0" fontId="9" numFmtId="9" xfId="0" applyAlignment="1" applyBorder="1" applyFont="1" applyNumberFormat="1">
      <alignment horizontal="center" vertical="top"/>
    </xf>
    <xf borderId="5" fillId="0" fontId="9" numFmtId="1" xfId="0" applyAlignment="1" applyBorder="1" applyFont="1" applyNumberFormat="1">
      <alignment horizontal="center" vertical="top"/>
    </xf>
    <xf borderId="13" fillId="0" fontId="3" numFmtId="1" xfId="0" applyAlignment="1" applyBorder="1" applyFont="1" applyNumberFormat="1">
      <alignment horizontal="center" vertical="bottom"/>
    </xf>
    <xf borderId="13" fillId="0" fontId="3" numFmtId="9" xfId="0" applyAlignment="1" applyBorder="1" applyFont="1" applyNumberFormat="1">
      <alignment horizontal="center" vertical="top"/>
    </xf>
    <xf borderId="13" fillId="0" fontId="3" numFmtId="0" xfId="0" applyAlignment="1" applyBorder="1" applyFont="1">
      <alignment horizontal="center" vertical="bottom"/>
    </xf>
    <xf borderId="14" fillId="2" fontId="10" numFmtId="1" xfId="0" applyAlignment="1" applyBorder="1" applyFill="1" applyFont="1" applyNumberFormat="1">
      <alignment horizontal="center" shrinkToFit="0" vertical="bottom" wrapText="1"/>
    </xf>
    <xf borderId="10" fillId="0" fontId="3" numFmtId="1" xfId="0" applyAlignment="1" applyBorder="1" applyFont="1" applyNumberFormat="1">
      <alignment horizontal="center" shrinkToFit="0" vertical="top" wrapText="1"/>
    </xf>
    <xf borderId="10" fillId="0" fontId="3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readingOrder="0"/>
    </xf>
    <xf borderId="13" fillId="0" fontId="3" numFmtId="9" xfId="0" applyAlignment="1" applyBorder="1" applyFont="1" applyNumberFormat="1">
      <alignment horizontal="center"/>
    </xf>
    <xf borderId="5" fillId="0" fontId="3" numFmtId="1" xfId="0" applyAlignment="1" applyBorder="1" applyFont="1" applyNumberFormat="1">
      <alignment horizontal="center"/>
    </xf>
    <xf borderId="5" fillId="0" fontId="3" numFmtId="0" xfId="0" applyAlignment="1" applyBorder="1" applyFont="1">
      <alignment horizontal="right" readingOrder="0"/>
    </xf>
    <xf borderId="13" fillId="0" fontId="3" numFmtId="1" xfId="0" applyAlignment="1" applyBorder="1" applyFont="1" applyNumberFormat="1">
      <alignment horizontal="center"/>
    </xf>
    <xf borderId="13" fillId="0" fontId="3" numFmtId="0" xfId="0" applyAlignment="1" applyBorder="1" applyFont="1">
      <alignment horizontal="right"/>
    </xf>
    <xf borderId="10" fillId="0" fontId="11" numFmtId="1" xfId="0" applyAlignment="1" applyBorder="1" applyFont="1" applyNumberFormat="1">
      <alignment horizontal="center" shrinkToFit="1" vertical="top" wrapText="0"/>
    </xf>
    <xf borderId="13" fillId="0" fontId="3" numFmtId="9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/>
    </xf>
    <xf borderId="13" fillId="0" fontId="11" numFmtId="1" xfId="0" applyAlignment="1" applyBorder="1" applyFont="1" applyNumberFormat="1">
      <alignment horizontal="center" shrinkToFit="1" vertical="top" wrapText="0"/>
    </xf>
    <xf borderId="13" fillId="0" fontId="3" numFmtId="0" xfId="0" applyAlignment="1" applyBorder="1" applyFont="1">
      <alignment horizontal="center" vertical="top"/>
    </xf>
    <xf borderId="13" fillId="0" fontId="6" numFmtId="0" xfId="0" applyAlignment="1" applyBorder="1" applyFont="1">
      <alignment vertical="top"/>
    </xf>
    <xf borderId="0" fillId="0" fontId="3" numFmtId="0" xfId="0" applyAlignment="1" applyFont="1">
      <alignment horizontal="center" vertical="center"/>
    </xf>
    <xf borderId="13" fillId="0" fontId="3" numFmtId="0" xfId="0" applyAlignment="1" applyBorder="1" applyFont="1">
      <alignment horizontal="right" shrinkToFit="0" wrapText="1"/>
    </xf>
    <xf borderId="13" fillId="0" fontId="11" numFmtId="0" xfId="0" applyAlignment="1" applyBorder="1" applyFont="1">
      <alignment horizontal="left" vertical="center"/>
    </xf>
    <xf borderId="0" fillId="0" fontId="11" numFmtId="1" xfId="0" applyAlignment="1" applyFont="1" applyNumberFormat="1">
      <alignment horizontal="center" shrinkToFit="1" vertical="top" wrapText="0"/>
    </xf>
    <xf borderId="13" fillId="0" fontId="11" numFmtId="9" xfId="0" applyAlignment="1" applyBorder="1" applyFont="1" applyNumberFormat="1">
      <alignment horizontal="center" shrinkToFit="1" vertical="top" wrapText="0"/>
    </xf>
    <xf borderId="0" fillId="0" fontId="3" numFmtId="1" xfId="0" applyAlignment="1" applyFont="1" applyNumberFormat="1">
      <alignment horizontal="center" vertical="center"/>
    </xf>
    <xf borderId="0" fillId="0" fontId="3" numFmtId="0" xfId="0" applyAlignment="1" applyFont="1">
      <alignment horizontal="center" shrinkToFit="0" vertical="top" wrapText="1"/>
    </xf>
    <xf borderId="13" fillId="0" fontId="3" numFmtId="0" xfId="0" applyAlignment="1" applyBorder="1" applyFont="1">
      <alignment shrinkToFit="0" vertical="top" wrapText="1"/>
    </xf>
    <xf borderId="13" fillId="0" fontId="3" numFmtId="1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shrinkToFit="0" vertical="top" wrapText="1"/>
    </xf>
    <xf borderId="15" fillId="0" fontId="3" numFmtId="0" xfId="0" applyAlignment="1" applyBorder="1" applyFont="1">
      <alignment horizontal="center"/>
    </xf>
    <xf borderId="15" fillId="0" fontId="3" numFmtId="9" xfId="0" applyAlignment="1" applyBorder="1" applyFont="1" applyNumberFormat="1">
      <alignment horizontal="center"/>
    </xf>
    <xf borderId="15" fillId="0" fontId="3" numFmtId="0" xfId="0" applyAlignment="1" applyBorder="1" applyFont="1">
      <alignment horizontal="center" vertical="top"/>
    </xf>
    <xf borderId="15" fillId="0" fontId="3" numFmtId="0" xfId="0" applyBorder="1" applyFont="1"/>
    <xf borderId="1" fillId="0" fontId="3" numFmtId="0" xfId="0" applyAlignment="1" applyBorder="1" applyFont="1">
      <alignment horizontal="right"/>
    </xf>
    <xf borderId="12" fillId="0" fontId="3" numFmtId="0" xfId="0" applyBorder="1" applyFont="1"/>
    <xf borderId="5" fillId="0" fontId="3" numFmtId="0" xfId="0" applyAlignment="1" applyBorder="1" applyFont="1">
      <alignment horizontal="right"/>
    </xf>
    <xf borderId="13" fillId="0" fontId="3" numFmtId="0" xfId="0" applyAlignment="1" applyBorder="1" applyFont="1">
      <alignment horizontal="right" readingOrder="0"/>
    </xf>
    <xf borderId="13" fillId="0" fontId="3" numFmtId="164" xfId="0" applyBorder="1" applyFont="1" applyNumberFormat="1"/>
    <xf borderId="3" fillId="0" fontId="3" numFmtId="0" xfId="0" applyAlignment="1" applyBorder="1" applyFont="1">
      <alignment horizontal="right"/>
    </xf>
    <xf borderId="3" fillId="0" fontId="3" numFmtId="0" xfId="0" applyAlignment="1" applyBorder="1" applyFont="1">
      <alignment horizontal="center"/>
    </xf>
    <xf borderId="16" fillId="0" fontId="4" numFmtId="0" xfId="0" applyBorder="1" applyFont="1"/>
    <xf borderId="11" fillId="0" fontId="3" numFmtId="0" xfId="0" applyAlignment="1" applyBorder="1" applyFont="1">
      <alignment horizontal="right" readingOrder="0"/>
    </xf>
    <xf borderId="3" fillId="0" fontId="12" numFmtId="0" xfId="0" applyAlignment="1" applyBorder="1" applyFont="1">
      <alignment horizontal="right"/>
    </xf>
    <xf borderId="16" fillId="0" fontId="3" numFmtId="0" xfId="0" applyBorder="1" applyFont="1"/>
    <xf borderId="11" fillId="0" fontId="12" numFmtId="2" xfId="0" applyBorder="1" applyFont="1" applyNumberFormat="1"/>
    <xf borderId="11" fillId="0" fontId="12" numFmtId="2" xfId="0" applyAlignment="1" applyBorder="1" applyFont="1" applyNumberFormat="1">
      <alignment readingOrder="0"/>
    </xf>
    <xf borderId="3" fillId="0" fontId="3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vertical="bottom"/>
    </xf>
    <xf borderId="1" fillId="0" fontId="13" numFmtId="0" xfId="0" applyAlignment="1" applyBorder="1" applyFont="1">
      <alignment horizontal="left" shrinkToFit="0" wrapText="1"/>
    </xf>
    <xf borderId="2" fillId="0" fontId="4" numFmtId="0" xfId="0" applyBorder="1" applyFont="1"/>
    <xf borderId="6" fillId="0" fontId="4" numFmtId="0" xfId="0" applyBorder="1" applyFont="1"/>
    <xf borderId="1" fillId="0" fontId="3" numFmtId="0" xfId="0" applyAlignment="1" applyBorder="1" applyFont="1">
      <alignment horizontal="right" shrinkToFit="0" vertical="top" wrapText="1"/>
    </xf>
    <xf borderId="5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1" fillId="0" fontId="3" numFmtId="0" xfId="0" applyAlignment="1" applyBorder="1" applyFont="1">
      <alignment horizontal="left" vertical="top"/>
    </xf>
    <xf borderId="5" fillId="0" fontId="9" numFmtId="1" xfId="0" applyAlignment="1" applyBorder="1" applyFont="1" applyNumberFormat="1">
      <alignment horizontal="center"/>
    </xf>
    <xf borderId="10" fillId="0" fontId="3" numFmtId="1" xfId="0" applyAlignment="1" applyBorder="1" applyFont="1" applyNumberFormat="1">
      <alignment horizontal="center"/>
    </xf>
    <xf borderId="13" fillId="0" fontId="3" numFmtId="0" xfId="0" applyAlignment="1" applyBorder="1" applyFont="1">
      <alignment shrinkToFit="0" wrapText="1"/>
    </xf>
    <xf borderId="10" fillId="0" fontId="3" numFmtId="1" xfId="0" applyAlignment="1" applyBorder="1" applyFont="1" applyNumberFormat="1">
      <alignment horizontal="center" shrinkToFit="0" wrapText="1"/>
    </xf>
    <xf borderId="5" fillId="0" fontId="3" numFmtId="1" xfId="0" applyAlignment="1" applyBorder="1" applyFont="1" applyNumberFormat="1">
      <alignment horizontal="center" shrinkToFit="0" wrapText="1"/>
    </xf>
    <xf borderId="10" fillId="0" fontId="3" numFmtId="1" xfId="0" applyAlignment="1" applyBorder="1" applyFont="1" applyNumberFormat="1">
      <alignment horizontal="center" vertical="top"/>
    </xf>
    <xf borderId="13" fillId="0" fontId="3" numFmtId="0" xfId="0" applyAlignment="1" applyBorder="1" applyFont="1">
      <alignment shrinkToFit="0" vertical="bottom" wrapText="1"/>
    </xf>
    <xf borderId="5" fillId="0" fontId="3" numFmtId="1" xfId="0" applyAlignment="1" applyBorder="1" applyFont="1" applyNumberFormat="1">
      <alignment horizontal="center" shrinkToFit="0" vertical="bottom" wrapText="1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9" xfId="0" applyAlignment="1" applyBorder="1" applyFont="1" applyNumberFormat="1">
      <alignment horizontal="center"/>
    </xf>
    <xf borderId="11" fillId="0" fontId="3" numFmtId="0" xfId="0" applyAlignment="1" applyBorder="1" applyFont="1">
      <alignment readingOrder="0"/>
    </xf>
    <xf borderId="3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/>
    </xf>
    <xf borderId="12" fillId="0" fontId="9" numFmtId="0" xfId="0" applyAlignment="1" applyBorder="1" applyFont="1">
      <alignment shrinkToFit="0" vertical="top" wrapText="1"/>
    </xf>
    <xf borderId="12" fillId="0" fontId="9" numFmtId="1" xfId="0" applyAlignment="1" applyBorder="1" applyFont="1" applyNumberFormat="1">
      <alignment horizontal="center" vertical="top"/>
    </xf>
    <xf borderId="12" fillId="0" fontId="9" numFmtId="9" xfId="0" applyAlignment="1" applyBorder="1" applyFont="1" applyNumberFormat="1">
      <alignment horizontal="center" vertical="top"/>
    </xf>
    <xf borderId="12" fillId="0" fontId="9" numFmtId="0" xfId="0" applyAlignment="1" applyBorder="1" applyFont="1">
      <alignment horizontal="right" shrinkToFit="0" vertical="top" wrapText="1"/>
    </xf>
    <xf borderId="13" fillId="0" fontId="9" numFmtId="0" xfId="0" applyAlignment="1" applyBorder="1" applyFont="1">
      <alignment shrinkToFit="0" vertical="top" wrapText="1"/>
    </xf>
    <xf borderId="13" fillId="0" fontId="9" numFmtId="1" xfId="0" applyAlignment="1" applyBorder="1" applyFont="1" applyNumberFormat="1">
      <alignment horizontal="center" vertical="top"/>
    </xf>
    <xf borderId="13" fillId="0" fontId="9" numFmtId="0" xfId="0" applyAlignment="1" applyBorder="1" applyFont="1">
      <alignment horizontal="right" shrinkToFit="0" vertical="top" wrapText="1"/>
    </xf>
    <xf borderId="11" fillId="0" fontId="3" numFmtId="1" xfId="0" applyAlignment="1" applyBorder="1" applyFont="1" applyNumberFormat="1">
      <alignment readingOrder="0"/>
    </xf>
    <xf borderId="11" fillId="0" fontId="3" numFmtId="164" xfId="0" applyAlignment="1" applyBorder="1" applyFont="1" applyNumberFormat="1">
      <alignment readingOrder="0"/>
    </xf>
    <xf borderId="3" fillId="0" fontId="9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left" readingOrder="0" vertical="top"/>
    </xf>
    <xf borderId="12" fillId="0" fontId="3" numFmtId="0" xfId="0" applyAlignment="1" applyBorder="1" applyFont="1">
      <alignment horizontal="left"/>
    </xf>
    <xf borderId="1" fillId="0" fontId="6" numFmtId="0" xfId="0" applyBorder="1" applyFont="1"/>
    <xf borderId="0" fillId="0" fontId="3" numFmtId="9" xfId="0" applyAlignment="1" applyFont="1" applyNumberFormat="1">
      <alignment horizontal="center" vertical="bottom"/>
    </xf>
    <xf borderId="13" fillId="0" fontId="3" numFmtId="0" xfId="0" applyAlignment="1" applyBorder="1" applyFont="1">
      <alignment horizontal="center" shrinkToFit="0" vertical="bottom" wrapText="1"/>
    </xf>
    <xf borderId="13" fillId="0" fontId="9" numFmtId="1" xfId="0" applyAlignment="1" applyBorder="1" applyFont="1" applyNumberFormat="1">
      <alignment horizontal="center" vertical="bottom"/>
    </xf>
    <xf borderId="13" fillId="0" fontId="3" numFmtId="1" xfId="0" applyAlignment="1" applyBorder="1" applyFont="1" applyNumberFormat="1">
      <alignment horizontal="center" vertical="top"/>
    </xf>
    <xf borderId="13" fillId="0" fontId="3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2" fillId="0" fontId="3" numFmtId="1" xfId="0" applyBorder="1" applyFont="1" applyNumberFormat="1"/>
    <xf borderId="13" fillId="0" fontId="3" numFmtId="164" xfId="0" applyAlignment="1" applyBorder="1" applyFont="1" applyNumberFormat="1">
      <alignment readingOrder="0"/>
    </xf>
    <xf borderId="11" fillId="0" fontId="3" numFmtId="164" xfId="0" applyBorder="1" applyFont="1" applyNumberFormat="1"/>
    <xf borderId="3" fillId="0" fontId="3" numFmtId="0" xfId="0" applyAlignment="1" applyBorder="1" applyFont="1">
      <alignment horizontal="left"/>
    </xf>
    <xf borderId="7" fillId="0" fontId="3" numFmtId="49" xfId="0" applyAlignment="1" applyBorder="1" applyFont="1" applyNumberFormat="1">
      <alignment horizontal="left"/>
    </xf>
    <xf borderId="7" fillId="0" fontId="8" numFmtId="0" xfId="0" applyAlignment="1" applyBorder="1" applyFont="1">
      <alignment horizontal="left"/>
    </xf>
    <xf borderId="1" fillId="0" fontId="3" numFmtId="49" xfId="0" applyAlignment="1" applyBorder="1" applyFont="1" applyNumberFormat="1">
      <alignment horizontal="left"/>
    </xf>
    <xf borderId="11" fillId="0" fontId="3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left" vertical="center"/>
    </xf>
    <xf borderId="10" fillId="0" fontId="14" numFmtId="1" xfId="0" applyAlignment="1" applyBorder="1" applyFont="1" applyNumberFormat="1">
      <alignment horizontal="center" shrinkToFit="1" vertical="top" wrapText="0"/>
    </xf>
    <xf borderId="13" fillId="0" fontId="6" numFmtId="9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horizontal="center" shrinkToFit="1" vertical="top" wrapText="0"/>
    </xf>
    <xf borderId="13" fillId="0" fontId="6" numFmtId="0" xfId="0" applyBorder="1" applyFont="1"/>
    <xf borderId="5" fillId="0" fontId="3" numFmtId="0" xfId="0" applyAlignment="1" applyBorder="1" applyFont="1">
      <alignment horizontal="right" shrinkToFit="0" wrapText="1"/>
    </xf>
    <xf borderId="10" fillId="0" fontId="6" numFmtId="0" xfId="0" applyBorder="1" applyFont="1"/>
    <xf borderId="13" fillId="0" fontId="14" numFmtId="9" xfId="0" applyAlignment="1" applyBorder="1" applyFont="1" applyNumberFormat="1">
      <alignment horizontal="center" shrinkToFit="1" vertical="top" wrapText="0"/>
    </xf>
    <xf borderId="13" fillId="0" fontId="6" numFmtId="0" xfId="0" applyAlignment="1" applyBorder="1" applyFont="1">
      <alignment horizontal="left" vertical="top"/>
    </xf>
    <xf borderId="17" fillId="2" fontId="10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vertical="center"/>
    </xf>
    <xf borderId="10" fillId="0" fontId="14" numFmtId="1" xfId="0" applyAlignment="1" applyBorder="1" applyFont="1" applyNumberFormat="1">
      <alignment horizontal="center" shrinkToFit="1" vertical="center" wrapText="0"/>
    </xf>
    <xf borderId="13" fillId="0" fontId="14" numFmtId="9" xfId="0" applyAlignment="1" applyBorder="1" applyFont="1" applyNumberFormat="1">
      <alignment horizontal="center" shrinkToFit="1" vertical="center" wrapText="0"/>
    </xf>
    <xf borderId="5" fillId="0" fontId="14" numFmtId="0" xfId="0" applyAlignment="1" applyBorder="1" applyFont="1">
      <alignment horizontal="center" shrinkToFit="1" vertical="center" wrapText="0"/>
    </xf>
    <xf borderId="13" fillId="0" fontId="14" numFmtId="1" xfId="0" applyAlignment="1" applyBorder="1" applyFont="1" applyNumberFormat="1">
      <alignment horizontal="center" shrinkToFit="1" vertical="top" wrapText="0"/>
    </xf>
    <xf borderId="5" fillId="0" fontId="3" numFmtId="0" xfId="0" applyAlignment="1" applyBorder="1" applyFont="1">
      <alignment shrinkToFit="0" vertical="top" wrapText="1"/>
    </xf>
    <xf borderId="5" fillId="0" fontId="11" numFmtId="1" xfId="0" applyAlignment="1" applyBorder="1" applyFont="1" applyNumberFormat="1">
      <alignment horizontal="center" shrinkToFit="1" vertical="center" wrapText="0"/>
    </xf>
    <xf borderId="10" fillId="0" fontId="3" numFmtId="0" xfId="0" applyAlignment="1" applyBorder="1" applyFont="1">
      <alignment horizontal="center" shrinkToFit="0" vertical="top" wrapText="1"/>
    </xf>
    <xf borderId="13" fillId="0" fontId="3" numFmtId="2" xfId="0" applyBorder="1" applyFont="1" applyNumberFormat="1"/>
    <xf borderId="2" fillId="0" fontId="3" numFmtId="0" xfId="0" applyAlignment="1" applyBorder="1" applyFont="1">
      <alignment horizontal="right" shrinkToFit="0" vertical="top" wrapText="1"/>
    </xf>
    <xf borderId="13" fillId="0" fontId="3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left" vertical="center"/>
    </xf>
    <xf borderId="10" fillId="0" fontId="11" numFmtId="1" xfId="0" applyAlignment="1" applyBorder="1" applyFont="1" applyNumberFormat="1">
      <alignment horizontal="center" shrinkToFit="1" vertical="center" wrapText="0"/>
    </xf>
    <xf borderId="13" fillId="0" fontId="11" numFmtId="9" xfId="0" applyAlignment="1" applyBorder="1" applyFont="1" applyNumberFormat="1">
      <alignment horizontal="center" shrinkToFit="1" vertical="center" wrapText="0"/>
    </xf>
    <xf borderId="13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right" vertical="bottom"/>
    </xf>
    <xf borderId="13" fillId="0" fontId="9" numFmtId="0" xfId="0" applyAlignment="1" applyBorder="1" applyFont="1">
      <alignment vertical="top"/>
    </xf>
    <xf borderId="17" fillId="2" fontId="10" numFmtId="1" xfId="0" applyAlignment="1" applyBorder="1" applyFont="1" applyNumberFormat="1">
      <alignment horizontal="center" shrinkToFit="0" vertical="bottom" wrapText="1"/>
    </xf>
    <xf borderId="5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3" name="Shape 3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6" name="Shape 6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8" name="Shape 8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104775</xdr:colOff>
      <xdr:row>45</xdr:row>
      <xdr:rowOff>38100</xdr:rowOff>
    </xdr:from>
    <xdr:ext cx="2114550" cy="5143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3" name="Shape 3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6" name="Shape 6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8" name="Shape 8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4</xdr:col>
      <xdr:colOff>609600</xdr:colOff>
      <xdr:row>45</xdr:row>
      <xdr:rowOff>9525</xdr:rowOff>
    </xdr:from>
    <xdr:ext cx="17716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3" name="Shape 3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6" name="Shape 6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8" name="Shape 8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4</xdr:col>
      <xdr:colOff>609600</xdr:colOff>
      <xdr:row>45</xdr:row>
      <xdr:rowOff>9525</xdr:rowOff>
    </xdr:from>
    <xdr:ext cx="17716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40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10" name="Shape 10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" name="Shape 11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12" name="Shape 12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" name="Shape 13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14" name="Shape 14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" name="Shape 15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4</xdr:col>
      <xdr:colOff>609600</xdr:colOff>
      <xdr:row>39</xdr:row>
      <xdr:rowOff>9525</xdr:rowOff>
    </xdr:from>
    <xdr:ext cx="17716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40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10" name="Shape 10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" name="Shape 11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12" name="Shape 12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" name="Shape 13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40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14" name="Shape 14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" name="Shape 15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4</xdr:col>
      <xdr:colOff>609600</xdr:colOff>
      <xdr:row>39</xdr:row>
      <xdr:rowOff>9525</xdr:rowOff>
    </xdr:from>
    <xdr:ext cx="17716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42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16" name="Shape 16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" name="Shape 17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18" name="Shape 18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9" name="Shape 19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20" name="Shape 20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1" name="Shape 21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19050</xdr:colOff>
      <xdr:row>40</xdr:row>
      <xdr:rowOff>171450</xdr:rowOff>
    </xdr:from>
    <xdr:ext cx="21145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22" name="Shape 22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3" name="Shape 23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24" name="Shape 24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26" name="Shape 26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7" name="Shape 27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4</xdr:col>
      <xdr:colOff>609600</xdr:colOff>
      <xdr:row>45</xdr:row>
      <xdr:rowOff>9525</xdr:rowOff>
    </xdr:from>
    <xdr:ext cx="17716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22" name="Shape 22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3" name="Shape 23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24" name="Shape 24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26" name="Shape 26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7" name="Shape 27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4</xdr:col>
      <xdr:colOff>609600</xdr:colOff>
      <xdr:row>45</xdr:row>
      <xdr:rowOff>9525</xdr:rowOff>
    </xdr:from>
    <xdr:ext cx="17716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22" name="Shape 22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3" name="Shape 23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24" name="Shape 24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-9525</xdr:colOff>
      <xdr:row>46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26" name="Shape 26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7" name="Shape 27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4</xdr:col>
      <xdr:colOff>609600</xdr:colOff>
      <xdr:row>45</xdr:row>
      <xdr:rowOff>9525</xdr:rowOff>
    </xdr:from>
    <xdr:ext cx="17716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6.29"/>
    <col customWidth="1" min="3" max="3" width="8.57"/>
    <col customWidth="1" min="4" max="4" width="8.29"/>
    <col customWidth="1" min="5" max="5" width="9.57"/>
    <col customWidth="1" min="6" max="6" width="13.29"/>
    <col customWidth="1" min="7" max="7" width="6.29"/>
    <col customWidth="1" min="8" max="8" width="12.57"/>
    <col customWidth="1" min="9" max="26" width="8.71"/>
  </cols>
  <sheetData>
    <row r="1">
      <c r="A1" s="1" t="s">
        <v>0</v>
      </c>
      <c r="B1" s="2"/>
      <c r="C1" s="2"/>
      <c r="D1" s="2"/>
      <c r="E1" s="3" t="s">
        <v>1</v>
      </c>
      <c r="F1" s="4"/>
      <c r="G1" s="3" t="s">
        <v>2</v>
      </c>
      <c r="H1" s="4"/>
    </row>
    <row r="2">
      <c r="A2" s="5" t="s">
        <v>3</v>
      </c>
      <c r="B2" s="6"/>
      <c r="C2" s="6"/>
      <c r="D2" s="6"/>
      <c r="E2" s="7" t="s">
        <v>4</v>
      </c>
      <c r="F2" s="8"/>
      <c r="G2" s="9" t="s">
        <v>5</v>
      </c>
      <c r="H2" s="10"/>
    </row>
    <row r="3">
      <c r="A3" s="11" t="s">
        <v>6</v>
      </c>
      <c r="E3" s="12" t="s">
        <v>7</v>
      </c>
      <c r="F3" s="13"/>
      <c r="G3" s="14" t="s">
        <v>8</v>
      </c>
      <c r="H3" s="15"/>
    </row>
    <row r="4">
      <c r="A4" s="5" t="s">
        <v>9</v>
      </c>
      <c r="D4" s="6"/>
      <c r="E4" s="5" t="s">
        <v>10</v>
      </c>
      <c r="F4" s="6"/>
      <c r="G4" s="16" t="s">
        <v>11</v>
      </c>
      <c r="H4" s="17"/>
    </row>
    <row r="5">
      <c r="A5" s="11" t="s">
        <v>12</v>
      </c>
      <c r="D5" s="6"/>
      <c r="E5" s="18"/>
      <c r="F5" s="19"/>
      <c r="G5" s="20"/>
      <c r="H5" s="21"/>
    </row>
    <row r="6">
      <c r="A6" s="5" t="s">
        <v>13</v>
      </c>
      <c r="C6" s="6"/>
      <c r="D6" s="22"/>
      <c r="E6" s="5" t="s">
        <v>14</v>
      </c>
      <c r="F6" s="6"/>
      <c r="G6" s="23" t="s">
        <v>15</v>
      </c>
      <c r="H6" s="24"/>
    </row>
    <row r="7">
      <c r="A7" s="25" t="s">
        <v>16</v>
      </c>
      <c r="B7" s="22"/>
      <c r="C7" s="22"/>
      <c r="D7" s="26"/>
      <c r="E7" s="20"/>
      <c r="F7" s="19"/>
      <c r="G7" s="20"/>
      <c r="H7" s="27"/>
    </row>
    <row r="8">
      <c r="A8" s="28" t="s">
        <v>17</v>
      </c>
      <c r="B8" s="29"/>
      <c r="C8" s="29"/>
      <c r="D8" s="29"/>
      <c r="E8" s="5" t="s">
        <v>18</v>
      </c>
      <c r="F8" s="6"/>
      <c r="G8" s="30" t="s">
        <v>19</v>
      </c>
      <c r="H8" s="31"/>
    </row>
    <row r="9">
      <c r="A9" s="32" t="s">
        <v>20</v>
      </c>
      <c r="D9" s="33"/>
      <c r="E9" s="20"/>
      <c r="F9" s="19"/>
      <c r="G9" s="20"/>
      <c r="H9" s="21"/>
    </row>
    <row r="10">
      <c r="A10" s="23" t="s">
        <v>21</v>
      </c>
      <c r="D10" s="33"/>
      <c r="E10" s="5" t="s">
        <v>22</v>
      </c>
      <c r="F10" s="6"/>
      <c r="G10" s="34" t="s">
        <v>23</v>
      </c>
      <c r="H10" s="35"/>
    </row>
    <row r="11">
      <c r="A11" s="23" t="s">
        <v>24</v>
      </c>
      <c r="D11" s="36"/>
      <c r="E11" s="37"/>
      <c r="F11" s="19"/>
      <c r="G11" s="38" t="s">
        <v>25</v>
      </c>
      <c r="H11" s="15"/>
    </row>
    <row r="12">
      <c r="A12" s="5" t="s">
        <v>26</v>
      </c>
      <c r="C12" s="22"/>
      <c r="D12" s="22"/>
      <c r="E12" s="7" t="s">
        <v>27</v>
      </c>
      <c r="H12" s="39"/>
    </row>
    <row r="13">
      <c r="A13" s="20"/>
      <c r="B13" s="19"/>
      <c r="C13" s="19"/>
      <c r="D13" s="19"/>
      <c r="E13" s="20"/>
      <c r="H13" s="21"/>
    </row>
    <row r="14">
      <c r="A14" s="40" t="s">
        <v>28</v>
      </c>
      <c r="B14" s="40" t="s">
        <v>29</v>
      </c>
      <c r="C14" s="41" t="s">
        <v>30</v>
      </c>
      <c r="D14" s="42" t="s">
        <v>31</v>
      </c>
      <c r="E14" s="40" t="s">
        <v>32</v>
      </c>
      <c r="F14" s="41" t="s">
        <v>33</v>
      </c>
      <c r="G14" s="40" t="s">
        <v>34</v>
      </c>
      <c r="H14" s="41" t="s">
        <v>35</v>
      </c>
    </row>
    <row r="15">
      <c r="A15" s="43">
        <v>1.0</v>
      </c>
      <c r="B15" s="44" t="s">
        <v>36</v>
      </c>
      <c r="C15" s="45">
        <v>3924.0</v>
      </c>
      <c r="D15" s="46">
        <v>0.18</v>
      </c>
      <c r="E15" s="47">
        <v>195.0</v>
      </c>
      <c r="F15" s="48">
        <v>2.0</v>
      </c>
      <c r="G15" s="49" t="s">
        <v>37</v>
      </c>
      <c r="H15" s="49">
        <f t="shared" ref="H15:H22" si="1">F15*E15</f>
        <v>390</v>
      </c>
    </row>
    <row r="16">
      <c r="A16" s="50">
        <v>2.0</v>
      </c>
      <c r="B16" s="44" t="s">
        <v>38</v>
      </c>
      <c r="C16" s="51">
        <v>9603.0</v>
      </c>
      <c r="D16" s="46">
        <v>0.18</v>
      </c>
      <c r="E16" s="52">
        <v>1750.0</v>
      </c>
      <c r="F16" s="48">
        <v>6.0</v>
      </c>
      <c r="G16" s="49" t="s">
        <v>37</v>
      </c>
      <c r="H16" s="49">
        <f t="shared" si="1"/>
        <v>10500</v>
      </c>
    </row>
    <row r="17">
      <c r="A17" s="50">
        <v>3.0</v>
      </c>
      <c r="B17" s="53" t="s">
        <v>39</v>
      </c>
      <c r="C17" s="54">
        <v>3808.0</v>
      </c>
      <c r="D17" s="55">
        <v>0.18</v>
      </c>
      <c r="E17" s="56">
        <v>998.0</v>
      </c>
      <c r="F17" s="57">
        <v>2.0</v>
      </c>
      <c r="G17" s="58" t="s">
        <v>40</v>
      </c>
      <c r="H17" s="59">
        <f t="shared" si="1"/>
        <v>1996</v>
      </c>
    </row>
    <row r="18">
      <c r="A18" s="50">
        <v>4.0</v>
      </c>
      <c r="B18" s="44" t="s">
        <v>41</v>
      </c>
      <c r="C18" s="60">
        <v>3402.0</v>
      </c>
      <c r="D18" s="61">
        <v>0.18</v>
      </c>
      <c r="E18" s="62">
        <v>750.0</v>
      </c>
      <c r="F18" s="48">
        <v>1.0</v>
      </c>
      <c r="G18" s="49" t="s">
        <v>40</v>
      </c>
      <c r="H18" s="48">
        <f t="shared" si="1"/>
        <v>750</v>
      </c>
    </row>
    <row r="19">
      <c r="A19" s="50">
        <v>5.0</v>
      </c>
      <c r="B19" s="63" t="s">
        <v>42</v>
      </c>
      <c r="C19" s="64">
        <v>3926.0</v>
      </c>
      <c r="D19" s="55">
        <v>0.18</v>
      </c>
      <c r="E19" s="65">
        <v>120.0</v>
      </c>
      <c r="F19" s="57">
        <v>20.0</v>
      </c>
      <c r="G19" s="58" t="s">
        <v>43</v>
      </c>
      <c r="H19" s="58">
        <f t="shared" si="1"/>
        <v>2400</v>
      </c>
    </row>
    <row r="20">
      <c r="A20" s="50">
        <v>6.0</v>
      </c>
      <c r="B20" s="53" t="s">
        <v>44</v>
      </c>
      <c r="C20" s="54">
        <v>9603.0</v>
      </c>
      <c r="D20" s="66">
        <v>0.0</v>
      </c>
      <c r="E20" s="67">
        <v>140.0</v>
      </c>
      <c r="F20" s="57">
        <v>20.0</v>
      </c>
      <c r="G20" s="58" t="s">
        <v>37</v>
      </c>
      <c r="H20" s="59">
        <f t="shared" si="1"/>
        <v>2800</v>
      </c>
    </row>
    <row r="21" ht="15.75" customHeight="1">
      <c r="A21" s="50">
        <v>7.0</v>
      </c>
      <c r="B21" s="44" t="s">
        <v>45</v>
      </c>
      <c r="C21" s="68">
        <v>6307.0</v>
      </c>
      <c r="D21" s="69">
        <v>0.18</v>
      </c>
      <c r="E21" s="47">
        <v>75.0</v>
      </c>
      <c r="F21" s="70">
        <v>6.0</v>
      </c>
      <c r="G21" s="49" t="s">
        <v>37</v>
      </c>
      <c r="H21" s="49">
        <f t="shared" si="1"/>
        <v>450</v>
      </c>
    </row>
    <row r="22" ht="15.75" customHeight="1">
      <c r="A22" s="50">
        <v>8.0</v>
      </c>
      <c r="B22" s="44" t="s">
        <v>46</v>
      </c>
      <c r="C22" s="71">
        <v>9018.0</v>
      </c>
      <c r="D22" s="61">
        <v>0.18</v>
      </c>
      <c r="E22" s="72">
        <v>12.0</v>
      </c>
      <c r="F22" s="48">
        <v>20.0</v>
      </c>
      <c r="G22" s="49" t="s">
        <v>37</v>
      </c>
      <c r="H22" s="49">
        <f t="shared" si="1"/>
        <v>240</v>
      </c>
    </row>
    <row r="23" ht="12.75" customHeight="1">
      <c r="A23" s="50">
        <v>9.0</v>
      </c>
      <c r="B23" s="44" t="s">
        <v>47</v>
      </c>
      <c r="C23" s="45">
        <v>4015.0</v>
      </c>
      <c r="D23" s="46">
        <v>0.18</v>
      </c>
      <c r="E23" s="47">
        <v>60.0</v>
      </c>
      <c r="F23" s="68">
        <v>12.0</v>
      </c>
      <c r="G23" s="49" t="s">
        <v>48</v>
      </c>
      <c r="H23" s="73">
        <v>720.0</v>
      </c>
    </row>
    <row r="24" ht="12.75" customHeight="1">
      <c r="A24" s="74">
        <v>10.0</v>
      </c>
      <c r="B24" s="44" t="s">
        <v>49</v>
      </c>
      <c r="C24" s="68">
        <v>9603.0</v>
      </c>
      <c r="D24" s="46">
        <v>0.18</v>
      </c>
      <c r="E24" s="68">
        <v>180.0</v>
      </c>
      <c r="F24" s="68">
        <v>5.0</v>
      </c>
      <c r="G24" s="49" t="s">
        <v>37</v>
      </c>
      <c r="H24" s="49">
        <f t="shared" ref="H24:H26" si="2">F24*E24</f>
        <v>900</v>
      </c>
    </row>
    <row r="25" ht="15.75" customHeight="1">
      <c r="A25" s="74">
        <v>11.0</v>
      </c>
      <c r="B25" s="53" t="s">
        <v>50</v>
      </c>
      <c r="C25" s="58">
        <v>9603.0</v>
      </c>
      <c r="D25" s="75">
        <v>0.18</v>
      </c>
      <c r="E25" s="76">
        <v>1125.0</v>
      </c>
      <c r="F25" s="57">
        <v>2.0</v>
      </c>
      <c r="G25" s="58" t="s">
        <v>37</v>
      </c>
      <c r="H25" s="59">
        <f t="shared" si="2"/>
        <v>2250</v>
      </c>
    </row>
    <row r="26" ht="15.75" customHeight="1">
      <c r="A26" s="77">
        <v>12.0</v>
      </c>
      <c r="B26" s="53" t="s">
        <v>51</v>
      </c>
      <c r="C26" s="64">
        <v>9603.0</v>
      </c>
      <c r="D26" s="55">
        <v>0.18</v>
      </c>
      <c r="E26" s="65">
        <v>174.0</v>
      </c>
      <c r="F26" s="78">
        <v>4.0</v>
      </c>
      <c r="G26" s="58" t="s">
        <v>37</v>
      </c>
      <c r="H26" s="58">
        <f t="shared" si="2"/>
        <v>696</v>
      </c>
    </row>
    <row r="27" ht="15.75" customHeight="1">
      <c r="A27" s="79"/>
      <c r="B27" s="63"/>
      <c r="C27" s="80"/>
      <c r="D27" s="81"/>
      <c r="E27" s="82"/>
      <c r="F27" s="83"/>
      <c r="G27" s="84"/>
      <c r="H27" s="58"/>
    </row>
    <row r="28" ht="15.75" customHeight="1">
      <c r="A28" s="79"/>
      <c r="B28" s="85"/>
      <c r="C28" s="86"/>
      <c r="D28" s="81"/>
      <c r="E28" s="82"/>
      <c r="F28" s="83"/>
      <c r="G28" s="84"/>
      <c r="H28" s="58"/>
    </row>
    <row r="29" ht="15.75" customHeight="1">
      <c r="A29" s="87"/>
      <c r="B29" s="88"/>
      <c r="C29" s="89"/>
      <c r="D29" s="90"/>
      <c r="E29" s="91"/>
      <c r="F29" s="84"/>
      <c r="G29" s="92"/>
      <c r="H29" s="63"/>
    </row>
    <row r="30" ht="15.75" customHeight="1">
      <c r="A30" s="87"/>
      <c r="B30" s="93"/>
      <c r="C30" s="57"/>
      <c r="D30" s="90"/>
      <c r="E30" s="94"/>
      <c r="F30" s="84"/>
      <c r="G30" s="84"/>
      <c r="H30" s="63"/>
    </row>
    <row r="31" ht="15.75" customHeight="1">
      <c r="A31" s="63"/>
      <c r="B31" s="95"/>
      <c r="C31" s="96"/>
      <c r="D31" s="97"/>
      <c r="E31" s="96"/>
      <c r="F31" s="98"/>
      <c r="G31" s="98"/>
      <c r="H31" s="99"/>
    </row>
    <row r="32" ht="15.75" customHeight="1">
      <c r="A32" s="28"/>
      <c r="B32" s="100" t="s">
        <v>52</v>
      </c>
      <c r="C32" s="101"/>
      <c r="D32" s="101"/>
      <c r="E32" s="28"/>
      <c r="F32" s="101"/>
      <c r="G32" s="28"/>
      <c r="H32" s="101">
        <f>SUM(H15:H28)</f>
        <v>24092</v>
      </c>
    </row>
    <row r="33" ht="15.75" customHeight="1">
      <c r="A33" s="11"/>
      <c r="B33" s="102"/>
      <c r="C33" s="63"/>
      <c r="D33" s="63"/>
      <c r="E33" s="11"/>
      <c r="F33" s="63"/>
      <c r="G33" s="11"/>
      <c r="H33" s="63"/>
    </row>
    <row r="34" ht="15.75" customHeight="1">
      <c r="A34" s="11"/>
      <c r="B34" s="102" t="s">
        <v>53</v>
      </c>
      <c r="C34" s="63"/>
      <c r="D34" s="63"/>
      <c r="E34" s="11"/>
      <c r="F34" s="63">
        <v>9.0</v>
      </c>
      <c r="G34" s="11" t="s">
        <v>54</v>
      </c>
      <c r="H34" s="103">
        <f>(H32-H20)*9%</f>
        <v>1916.28</v>
      </c>
    </row>
    <row r="35" ht="15.75" customHeight="1">
      <c r="A35" s="11"/>
      <c r="B35" s="102" t="s">
        <v>55</v>
      </c>
      <c r="C35" s="63"/>
      <c r="D35" s="63"/>
      <c r="E35" s="11"/>
      <c r="F35" s="63">
        <v>9.0</v>
      </c>
      <c r="G35" s="11" t="s">
        <v>54</v>
      </c>
      <c r="H35" s="103">
        <v>1916.28</v>
      </c>
    </row>
    <row r="36" ht="15.75" customHeight="1">
      <c r="A36" s="11"/>
      <c r="B36" s="102"/>
      <c r="C36" s="63"/>
      <c r="D36" s="63"/>
      <c r="E36" s="11"/>
      <c r="F36" s="63"/>
      <c r="G36" s="11"/>
      <c r="H36" s="104"/>
    </row>
    <row r="37" ht="15.75" customHeight="1">
      <c r="A37" s="11"/>
      <c r="B37" s="102"/>
      <c r="C37" s="63"/>
      <c r="D37" s="63"/>
      <c r="E37" s="11"/>
      <c r="F37" s="63"/>
      <c r="G37" s="11"/>
      <c r="H37" s="104"/>
    </row>
    <row r="38" ht="15.75" customHeight="1">
      <c r="A38" s="11"/>
      <c r="B38" s="102"/>
      <c r="C38" s="63"/>
      <c r="D38" s="63"/>
      <c r="E38" s="11"/>
      <c r="F38" s="63"/>
      <c r="G38" s="11"/>
      <c r="H38" s="63"/>
    </row>
    <row r="39" ht="15.75" customHeight="1">
      <c r="A39" s="11"/>
      <c r="B39" s="102"/>
      <c r="C39" s="63"/>
      <c r="D39" s="63"/>
      <c r="E39" s="11"/>
      <c r="F39" s="63"/>
      <c r="G39" s="11"/>
      <c r="H39" s="63"/>
    </row>
    <row r="40" ht="15.75" customHeight="1">
      <c r="A40" s="40"/>
      <c r="B40" s="105" t="s">
        <v>56</v>
      </c>
      <c r="C40" s="106"/>
      <c r="D40" s="107"/>
      <c r="E40" s="107"/>
      <c r="F40" s="107"/>
      <c r="G40" s="4"/>
      <c r="H40" s="108">
        <f>SUM(H34:H35)</f>
        <v>3832.56</v>
      </c>
    </row>
    <row r="41" ht="14.25" customHeight="1">
      <c r="A41" s="109" t="s">
        <v>57</v>
      </c>
      <c r="B41" s="4"/>
      <c r="C41" s="40"/>
      <c r="D41" s="110"/>
      <c r="E41" s="110"/>
      <c r="F41" s="110"/>
      <c r="G41" s="110"/>
      <c r="H41" s="111">
        <f>SUM(H32+H40)</f>
        <v>27924.56</v>
      </c>
    </row>
    <row r="42" ht="14.25" customHeight="1">
      <c r="A42" s="109" t="s">
        <v>58</v>
      </c>
      <c r="B42" s="4"/>
      <c r="C42" s="40"/>
      <c r="D42" s="110"/>
      <c r="E42" s="110"/>
      <c r="F42" s="110"/>
      <c r="G42" s="110"/>
      <c r="H42" s="112">
        <v>0.56</v>
      </c>
    </row>
    <row r="43" ht="14.25" customHeight="1">
      <c r="A43" s="109" t="s">
        <v>59</v>
      </c>
      <c r="B43" s="4"/>
      <c r="C43" s="40"/>
      <c r="D43" s="110"/>
      <c r="E43" s="110"/>
      <c r="F43" s="110"/>
      <c r="G43" s="110"/>
      <c r="H43" s="111">
        <f>H41-H42</f>
        <v>27924</v>
      </c>
    </row>
    <row r="44" ht="14.25" customHeight="1">
      <c r="A44" s="113" t="s">
        <v>60</v>
      </c>
      <c r="B44" s="4"/>
      <c r="C44" s="114" t="s">
        <v>61</v>
      </c>
      <c r="D44" s="107"/>
      <c r="E44" s="107"/>
      <c r="F44" s="107"/>
      <c r="G44" s="107"/>
      <c r="H44" s="4"/>
    </row>
    <row r="45" ht="15.0" customHeight="1">
      <c r="A45" s="115" t="s">
        <v>62</v>
      </c>
      <c r="B45" s="116"/>
      <c r="C45" s="116"/>
      <c r="D45" s="117"/>
      <c r="E45" s="118" t="s">
        <v>63</v>
      </c>
      <c r="F45" s="116"/>
      <c r="G45" s="116"/>
      <c r="H45" s="117"/>
    </row>
    <row r="46" ht="15.75" customHeight="1">
      <c r="A46" s="119"/>
      <c r="D46" s="33"/>
      <c r="E46" s="119"/>
      <c r="H46" s="33"/>
    </row>
    <row r="47" ht="20.25" customHeight="1">
      <c r="A47" s="120"/>
      <c r="B47" s="121"/>
      <c r="C47" s="121"/>
      <c r="D47" s="15"/>
      <c r="E47" s="119"/>
      <c r="H47" s="33"/>
    </row>
    <row r="48" ht="15.75" customHeight="1">
      <c r="A48" s="122" t="s">
        <v>64</v>
      </c>
      <c r="B48" s="116"/>
      <c r="C48" s="116"/>
      <c r="D48" s="117"/>
      <c r="E48" s="119"/>
      <c r="H48" s="33"/>
    </row>
    <row r="49" ht="8.25" customHeight="1">
      <c r="A49" s="120"/>
      <c r="B49" s="121"/>
      <c r="C49" s="121"/>
      <c r="D49" s="15"/>
      <c r="E49" s="120"/>
      <c r="F49" s="121"/>
      <c r="G49" s="121"/>
      <c r="H49" s="1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1:F1"/>
    <mergeCell ref="G1:H1"/>
    <mergeCell ref="G3:H3"/>
    <mergeCell ref="A6:B6"/>
    <mergeCell ref="A9:D9"/>
    <mergeCell ref="A10:D10"/>
    <mergeCell ref="G11:H11"/>
    <mergeCell ref="A44:B44"/>
    <mergeCell ref="A45:D47"/>
    <mergeCell ref="E45:H49"/>
    <mergeCell ref="A48:D49"/>
    <mergeCell ref="A11:C11"/>
    <mergeCell ref="A12:B12"/>
    <mergeCell ref="C40:G40"/>
    <mergeCell ref="A41:B41"/>
    <mergeCell ref="A42:B42"/>
    <mergeCell ref="A43:B43"/>
    <mergeCell ref="C44:H44"/>
  </mergeCells>
  <printOptions/>
  <pageMargins bottom="0.0" footer="0.0" header="0.0" left="0.7086614173228347" right="0.7086614173228347" top="0.6299212598425197"/>
  <pageSetup fitToHeight="0" paperSize="9" orientation="portrait"/>
  <headerFooter>
    <oddHeader>&amp;CTAX INVOICE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6.29"/>
    <col customWidth="1" min="3" max="3" width="8.57"/>
    <col customWidth="1" min="4" max="4" width="8.29"/>
    <col customWidth="1" min="5" max="5" width="9.57"/>
    <col customWidth="1" min="6" max="6" width="13.29"/>
    <col customWidth="1" min="7" max="7" width="6.29"/>
    <col customWidth="1" min="8" max="8" width="12.57"/>
    <col customWidth="1" min="9" max="26" width="8.71"/>
  </cols>
  <sheetData>
    <row r="1">
      <c r="A1" s="1" t="s">
        <v>0</v>
      </c>
      <c r="B1" s="2"/>
      <c r="C1" s="2"/>
      <c r="D1" s="2"/>
      <c r="E1" s="3" t="s">
        <v>65</v>
      </c>
      <c r="F1" s="4"/>
      <c r="G1" s="3" t="s">
        <v>2</v>
      </c>
      <c r="H1" s="4"/>
    </row>
    <row r="2">
      <c r="A2" s="5" t="s">
        <v>3</v>
      </c>
      <c r="B2" s="6"/>
      <c r="C2" s="6"/>
      <c r="D2" s="6"/>
      <c r="E2" s="7" t="s">
        <v>4</v>
      </c>
      <c r="F2" s="8"/>
      <c r="G2" s="9" t="s">
        <v>66</v>
      </c>
      <c r="H2" s="10"/>
    </row>
    <row r="3">
      <c r="A3" s="11" t="s">
        <v>6</v>
      </c>
      <c r="E3" s="12" t="s">
        <v>7</v>
      </c>
      <c r="F3" s="13"/>
      <c r="G3" s="14" t="s">
        <v>8</v>
      </c>
      <c r="H3" s="15"/>
    </row>
    <row r="4">
      <c r="A4" s="5" t="s">
        <v>9</v>
      </c>
      <c r="D4" s="6"/>
      <c r="E4" s="5" t="s">
        <v>10</v>
      </c>
      <c r="F4" s="6"/>
      <c r="G4" s="16" t="s">
        <v>11</v>
      </c>
      <c r="H4" s="17"/>
    </row>
    <row r="5">
      <c r="A5" s="11" t="s">
        <v>12</v>
      </c>
      <c r="D5" s="6"/>
      <c r="E5" s="18"/>
      <c r="F5" s="19"/>
      <c r="G5" s="20"/>
      <c r="H5" s="21"/>
    </row>
    <row r="6">
      <c r="A6" s="5" t="s">
        <v>13</v>
      </c>
      <c r="C6" s="6"/>
      <c r="D6" s="22"/>
      <c r="E6" s="5" t="s">
        <v>14</v>
      </c>
      <c r="F6" s="6"/>
      <c r="G6" s="23" t="s">
        <v>15</v>
      </c>
      <c r="H6" s="24"/>
    </row>
    <row r="7">
      <c r="A7" s="25" t="s">
        <v>16</v>
      </c>
      <c r="B7" s="22"/>
      <c r="C7" s="22"/>
      <c r="D7" s="26"/>
      <c r="E7" s="20"/>
      <c r="F7" s="19"/>
      <c r="G7" s="20"/>
      <c r="H7" s="27"/>
    </row>
    <row r="8">
      <c r="A8" s="28" t="s">
        <v>17</v>
      </c>
      <c r="B8" s="29"/>
      <c r="C8" s="29"/>
      <c r="D8" s="29"/>
      <c r="E8" s="5" t="s">
        <v>18</v>
      </c>
      <c r="F8" s="6"/>
      <c r="G8" s="30" t="s">
        <v>19</v>
      </c>
      <c r="H8" s="31"/>
    </row>
    <row r="9">
      <c r="A9" s="32" t="s">
        <v>20</v>
      </c>
      <c r="D9" s="33"/>
      <c r="E9" s="20"/>
      <c r="F9" s="19"/>
      <c r="G9" s="20"/>
      <c r="H9" s="21"/>
    </row>
    <row r="10">
      <c r="A10" s="23" t="s">
        <v>21</v>
      </c>
      <c r="D10" s="33"/>
      <c r="E10" s="5" t="s">
        <v>22</v>
      </c>
      <c r="F10" s="6"/>
      <c r="G10" s="34" t="s">
        <v>23</v>
      </c>
      <c r="H10" s="35"/>
    </row>
    <row r="11">
      <c r="A11" s="23" t="s">
        <v>24</v>
      </c>
      <c r="D11" s="36"/>
      <c r="E11" s="37"/>
      <c r="F11" s="19"/>
      <c r="G11" s="38" t="s">
        <v>25</v>
      </c>
      <c r="H11" s="15"/>
    </row>
    <row r="12">
      <c r="A12" s="5" t="s">
        <v>26</v>
      </c>
      <c r="C12" s="22"/>
      <c r="D12" s="22"/>
      <c r="E12" s="7" t="s">
        <v>27</v>
      </c>
      <c r="H12" s="39"/>
    </row>
    <row r="13">
      <c r="A13" s="20"/>
      <c r="B13" s="19"/>
      <c r="C13" s="19"/>
      <c r="D13" s="19"/>
      <c r="E13" s="20"/>
      <c r="H13" s="21"/>
    </row>
    <row r="14">
      <c r="A14" s="40" t="s">
        <v>28</v>
      </c>
      <c r="B14" s="40" t="s">
        <v>29</v>
      </c>
      <c r="C14" s="41" t="s">
        <v>30</v>
      </c>
      <c r="D14" s="42" t="s">
        <v>31</v>
      </c>
      <c r="E14" s="40" t="s">
        <v>32</v>
      </c>
      <c r="F14" s="41" t="s">
        <v>33</v>
      </c>
      <c r="G14" s="40" t="s">
        <v>34</v>
      </c>
      <c r="H14" s="41" t="s">
        <v>35</v>
      </c>
    </row>
    <row r="15">
      <c r="A15" s="43">
        <v>1.0</v>
      </c>
      <c r="B15" s="63" t="s">
        <v>42</v>
      </c>
      <c r="C15" s="64">
        <v>3926.0</v>
      </c>
      <c r="D15" s="55">
        <v>0.18</v>
      </c>
      <c r="E15" s="123">
        <v>120.0</v>
      </c>
      <c r="F15" s="57">
        <v>10.0</v>
      </c>
      <c r="G15" s="58" t="s">
        <v>43</v>
      </c>
      <c r="H15" s="58">
        <f t="shared" ref="H15:H25" si="1">F15*E15</f>
        <v>1200</v>
      </c>
    </row>
    <row r="16">
      <c r="A16" s="50">
        <v>2.0</v>
      </c>
      <c r="B16" s="44" t="s">
        <v>67</v>
      </c>
      <c r="C16" s="64">
        <v>3402.0</v>
      </c>
      <c r="D16" s="55">
        <v>0.18</v>
      </c>
      <c r="E16" s="65">
        <v>149.0</v>
      </c>
      <c r="F16" s="57">
        <v>2.0</v>
      </c>
      <c r="G16" s="58" t="s">
        <v>68</v>
      </c>
      <c r="H16" s="58">
        <f t="shared" si="1"/>
        <v>298</v>
      </c>
    </row>
    <row r="17">
      <c r="A17" s="50">
        <v>3.0</v>
      </c>
      <c r="B17" s="53" t="s">
        <v>39</v>
      </c>
      <c r="C17" s="54">
        <v>3808.0</v>
      </c>
      <c r="D17" s="55">
        <v>0.18</v>
      </c>
      <c r="E17" s="56">
        <v>998.0</v>
      </c>
      <c r="F17" s="57">
        <v>1.0</v>
      </c>
      <c r="G17" s="58" t="s">
        <v>40</v>
      </c>
      <c r="H17" s="59">
        <f t="shared" si="1"/>
        <v>998</v>
      </c>
    </row>
    <row r="18">
      <c r="A18" s="50">
        <v>4.0</v>
      </c>
      <c r="B18" s="44" t="s">
        <v>41</v>
      </c>
      <c r="C18" s="60">
        <v>3402.0</v>
      </c>
      <c r="D18" s="61">
        <v>0.18</v>
      </c>
      <c r="E18" s="62">
        <v>750.0</v>
      </c>
      <c r="F18" s="48">
        <v>1.0</v>
      </c>
      <c r="G18" s="49" t="s">
        <v>40</v>
      </c>
      <c r="H18" s="48">
        <f t="shared" si="1"/>
        <v>750</v>
      </c>
    </row>
    <row r="19">
      <c r="A19" s="50">
        <v>5.0</v>
      </c>
      <c r="B19" s="63" t="s">
        <v>69</v>
      </c>
      <c r="C19" s="124">
        <v>4818.0</v>
      </c>
      <c r="D19" s="75">
        <v>0.18</v>
      </c>
      <c r="E19" s="76">
        <v>850.0</v>
      </c>
      <c r="F19" s="57">
        <v>1.0</v>
      </c>
      <c r="G19" s="58" t="s">
        <v>70</v>
      </c>
      <c r="H19" s="58">
        <f t="shared" si="1"/>
        <v>850</v>
      </c>
    </row>
    <row r="20">
      <c r="A20" s="50">
        <v>6.0</v>
      </c>
      <c r="B20" s="125" t="s">
        <v>71</v>
      </c>
      <c r="C20" s="126">
        <v>3402.0</v>
      </c>
      <c r="D20" s="75">
        <v>0.18</v>
      </c>
      <c r="E20" s="127">
        <v>135.0</v>
      </c>
      <c r="F20" s="57">
        <v>3.0</v>
      </c>
      <c r="G20" s="58" t="s">
        <v>37</v>
      </c>
      <c r="H20" s="58">
        <f t="shared" si="1"/>
        <v>405</v>
      </c>
    </row>
    <row r="21" ht="15.75" customHeight="1">
      <c r="A21" s="50">
        <v>7.0</v>
      </c>
      <c r="B21" s="63" t="s">
        <v>72</v>
      </c>
      <c r="C21" s="128">
        <v>9603.0</v>
      </c>
      <c r="D21" s="75">
        <v>0.18</v>
      </c>
      <c r="E21" s="52">
        <v>496.0</v>
      </c>
      <c r="F21" s="57">
        <v>2.0</v>
      </c>
      <c r="G21" s="58" t="s">
        <v>37</v>
      </c>
      <c r="H21" s="58">
        <f t="shared" si="1"/>
        <v>992</v>
      </c>
    </row>
    <row r="22" ht="15.75" customHeight="1">
      <c r="A22" s="50">
        <v>8.0</v>
      </c>
      <c r="B22" s="129" t="s">
        <v>73</v>
      </c>
      <c r="C22" s="60">
        <v>3402.0</v>
      </c>
      <c r="D22" s="46">
        <v>0.18</v>
      </c>
      <c r="E22" s="130">
        <v>90.0</v>
      </c>
      <c r="F22" s="48">
        <v>12.0</v>
      </c>
      <c r="G22" s="49" t="s">
        <v>37</v>
      </c>
      <c r="H22" s="49">
        <f t="shared" si="1"/>
        <v>1080</v>
      </c>
    </row>
    <row r="23" ht="12.75" customHeight="1">
      <c r="A23" s="50">
        <v>9.0</v>
      </c>
      <c r="B23" s="44" t="s">
        <v>74</v>
      </c>
      <c r="C23" s="45">
        <v>3402.0</v>
      </c>
      <c r="D23" s="46">
        <v>0.18</v>
      </c>
      <c r="E23" s="131">
        <v>104.0</v>
      </c>
      <c r="F23" s="48">
        <v>4.0</v>
      </c>
      <c r="G23" s="49" t="s">
        <v>37</v>
      </c>
      <c r="H23" s="49">
        <f t="shared" si="1"/>
        <v>416</v>
      </c>
    </row>
    <row r="24" ht="12.75" customHeight="1">
      <c r="A24" s="74">
        <v>10.0</v>
      </c>
      <c r="B24" s="132" t="s">
        <v>75</v>
      </c>
      <c r="C24" s="76">
        <v>3402.0</v>
      </c>
      <c r="D24" s="133">
        <v>0.18</v>
      </c>
      <c r="E24" s="68">
        <v>89.0</v>
      </c>
      <c r="F24" s="45">
        <v>2.0</v>
      </c>
      <c r="G24" s="62" t="s">
        <v>76</v>
      </c>
      <c r="H24" s="48">
        <f t="shared" si="1"/>
        <v>178</v>
      </c>
    </row>
    <row r="25" ht="15.75" customHeight="1">
      <c r="A25" s="74">
        <v>11.0</v>
      </c>
      <c r="B25" s="44" t="s">
        <v>77</v>
      </c>
      <c r="C25" s="51">
        <v>3307.0</v>
      </c>
      <c r="D25" s="46">
        <v>0.18</v>
      </c>
      <c r="E25" s="45">
        <v>60.0</v>
      </c>
      <c r="F25" s="48">
        <v>6.0</v>
      </c>
      <c r="G25" s="48" t="s">
        <v>78</v>
      </c>
      <c r="H25" s="48">
        <f t="shared" si="1"/>
        <v>360</v>
      </c>
    </row>
    <row r="26" ht="15.75" customHeight="1">
      <c r="A26" s="102"/>
      <c r="B26" s="63"/>
      <c r="C26" s="80"/>
      <c r="D26" s="81"/>
      <c r="E26" s="82"/>
      <c r="F26" s="83"/>
      <c r="G26" s="84"/>
      <c r="H26" s="58"/>
    </row>
    <row r="27" ht="15.75" customHeight="1">
      <c r="A27" s="79"/>
      <c r="B27" s="63"/>
      <c r="C27" s="80"/>
      <c r="D27" s="81"/>
      <c r="E27" s="82"/>
      <c r="F27" s="83"/>
      <c r="G27" s="84"/>
      <c r="H27" s="58"/>
    </row>
    <row r="28" ht="15.75" customHeight="1">
      <c r="A28" s="79"/>
      <c r="B28" s="85"/>
      <c r="C28" s="86"/>
      <c r="D28" s="81"/>
      <c r="E28" s="82"/>
      <c r="F28" s="83"/>
      <c r="G28" s="84"/>
      <c r="H28" s="58"/>
    </row>
    <row r="29" ht="15.75" customHeight="1">
      <c r="A29" s="87"/>
      <c r="B29" s="88"/>
      <c r="C29" s="89"/>
      <c r="D29" s="90"/>
      <c r="E29" s="91"/>
      <c r="F29" s="84"/>
      <c r="G29" s="92"/>
      <c r="H29" s="63"/>
    </row>
    <row r="30" ht="15.75" customHeight="1">
      <c r="A30" s="87"/>
      <c r="B30" s="93"/>
      <c r="C30" s="57"/>
      <c r="D30" s="90"/>
      <c r="E30" s="94"/>
      <c r="F30" s="84"/>
      <c r="G30" s="84"/>
      <c r="H30" s="63"/>
    </row>
    <row r="31" ht="15.75" customHeight="1">
      <c r="A31" s="63"/>
      <c r="B31" s="95"/>
      <c r="C31" s="96"/>
      <c r="D31" s="97"/>
      <c r="E31" s="96"/>
      <c r="F31" s="98"/>
      <c r="G31" s="98"/>
      <c r="H31" s="99"/>
    </row>
    <row r="32" ht="15.75" customHeight="1">
      <c r="A32" s="28"/>
      <c r="B32" s="100" t="s">
        <v>52</v>
      </c>
      <c r="C32" s="101"/>
      <c r="D32" s="101"/>
      <c r="E32" s="28"/>
      <c r="F32" s="101"/>
      <c r="G32" s="28"/>
      <c r="H32" s="134">
        <v>7527.0</v>
      </c>
    </row>
    <row r="33" ht="15.75" customHeight="1">
      <c r="A33" s="11"/>
      <c r="B33" s="102"/>
      <c r="C33" s="63"/>
      <c r="D33" s="63"/>
      <c r="E33" s="11"/>
      <c r="F33" s="63"/>
      <c r="G33" s="11"/>
      <c r="H33" s="63"/>
    </row>
    <row r="34" ht="15.75" customHeight="1">
      <c r="A34" s="11"/>
      <c r="B34" s="102" t="s">
        <v>53</v>
      </c>
      <c r="C34" s="63"/>
      <c r="D34" s="63"/>
      <c r="E34" s="11"/>
      <c r="F34" s="63">
        <v>9.0</v>
      </c>
      <c r="G34" s="11" t="s">
        <v>54</v>
      </c>
      <c r="H34" s="103">
        <v>677.43</v>
      </c>
    </row>
    <row r="35" ht="15.75" customHeight="1">
      <c r="A35" s="11"/>
      <c r="B35" s="102" t="s">
        <v>55</v>
      </c>
      <c r="C35" s="63"/>
      <c r="D35" s="63"/>
      <c r="E35" s="11"/>
      <c r="F35" s="63">
        <v>9.0</v>
      </c>
      <c r="G35" s="11" t="s">
        <v>54</v>
      </c>
      <c r="H35" s="103">
        <v>677.43</v>
      </c>
    </row>
    <row r="36" ht="15.75" customHeight="1">
      <c r="A36" s="11"/>
      <c r="B36" s="102"/>
      <c r="C36" s="63"/>
      <c r="D36" s="63"/>
      <c r="E36" s="11"/>
      <c r="F36" s="63"/>
      <c r="G36" s="11"/>
      <c r="H36" s="104"/>
    </row>
    <row r="37" ht="15.75" customHeight="1">
      <c r="A37" s="11"/>
      <c r="B37" s="102"/>
      <c r="C37" s="63"/>
      <c r="D37" s="63"/>
      <c r="E37" s="11"/>
      <c r="F37" s="63"/>
      <c r="G37" s="11"/>
      <c r="H37" s="104"/>
    </row>
    <row r="38" ht="15.75" customHeight="1">
      <c r="A38" s="11"/>
      <c r="B38" s="102"/>
      <c r="C38" s="63"/>
      <c r="D38" s="63"/>
      <c r="E38" s="11"/>
      <c r="F38" s="63"/>
      <c r="G38" s="11"/>
      <c r="H38" s="63"/>
    </row>
    <row r="39" ht="15.75" customHeight="1">
      <c r="A39" s="11"/>
      <c r="B39" s="102"/>
      <c r="C39" s="63"/>
      <c r="D39" s="63"/>
      <c r="E39" s="11"/>
      <c r="F39" s="63"/>
      <c r="G39" s="11"/>
      <c r="H39" s="63"/>
    </row>
    <row r="40" ht="15.75" customHeight="1">
      <c r="A40" s="40"/>
      <c r="B40" s="105" t="s">
        <v>56</v>
      </c>
      <c r="C40" s="106"/>
      <c r="D40" s="107"/>
      <c r="E40" s="107"/>
      <c r="F40" s="107"/>
      <c r="G40" s="4"/>
      <c r="H40" s="134">
        <v>1354.86</v>
      </c>
    </row>
    <row r="41" ht="14.25" customHeight="1">
      <c r="A41" s="109" t="s">
        <v>57</v>
      </c>
      <c r="B41" s="4"/>
      <c r="C41" s="40"/>
      <c r="D41" s="110"/>
      <c r="E41" s="110"/>
      <c r="F41" s="110"/>
      <c r="G41" s="110"/>
      <c r="H41" s="111">
        <f>SUM(H32+H40)</f>
        <v>8881.86</v>
      </c>
    </row>
    <row r="42" ht="14.25" customHeight="1">
      <c r="A42" s="109" t="s">
        <v>58</v>
      </c>
      <c r="B42" s="4"/>
      <c r="C42" s="40"/>
      <c r="D42" s="110"/>
      <c r="E42" s="110"/>
      <c r="F42" s="110"/>
      <c r="G42" s="110"/>
      <c r="H42" s="112">
        <v>0.86</v>
      </c>
    </row>
    <row r="43" ht="14.25" customHeight="1">
      <c r="A43" s="109" t="s">
        <v>59</v>
      </c>
      <c r="B43" s="4"/>
      <c r="C43" s="40"/>
      <c r="D43" s="110"/>
      <c r="E43" s="110"/>
      <c r="F43" s="110"/>
      <c r="G43" s="110"/>
      <c r="H43" s="111">
        <f>H41-H42</f>
        <v>8881</v>
      </c>
    </row>
    <row r="44" ht="14.25" customHeight="1">
      <c r="A44" s="113" t="s">
        <v>60</v>
      </c>
      <c r="B44" s="4"/>
      <c r="C44" s="135" t="s">
        <v>79</v>
      </c>
      <c r="D44" s="107"/>
      <c r="E44" s="107"/>
      <c r="F44" s="107"/>
      <c r="G44" s="107"/>
      <c r="H44" s="4"/>
    </row>
    <row r="45" ht="15.0" customHeight="1">
      <c r="A45" s="115" t="s">
        <v>62</v>
      </c>
      <c r="B45" s="116"/>
      <c r="C45" s="116"/>
      <c r="D45" s="117"/>
      <c r="E45" s="118" t="s">
        <v>63</v>
      </c>
      <c r="F45" s="116"/>
      <c r="G45" s="116"/>
      <c r="H45" s="117"/>
    </row>
    <row r="46" ht="15.75" customHeight="1">
      <c r="A46" s="119"/>
      <c r="D46" s="33"/>
      <c r="E46" s="119"/>
      <c r="H46" s="33"/>
    </row>
    <row r="47" ht="20.25" customHeight="1">
      <c r="A47" s="120"/>
      <c r="B47" s="121"/>
      <c r="C47" s="121"/>
      <c r="D47" s="15"/>
      <c r="E47" s="119"/>
      <c r="H47" s="33"/>
    </row>
    <row r="48" ht="15.75" customHeight="1">
      <c r="A48" s="122" t="s">
        <v>64</v>
      </c>
      <c r="B48" s="116"/>
      <c r="C48" s="116"/>
      <c r="D48" s="117"/>
      <c r="E48" s="119"/>
      <c r="H48" s="33"/>
    </row>
    <row r="49" ht="8.25" customHeight="1">
      <c r="A49" s="120"/>
      <c r="B49" s="121"/>
      <c r="C49" s="121"/>
      <c r="D49" s="15"/>
      <c r="E49" s="120"/>
      <c r="F49" s="121"/>
      <c r="G49" s="121"/>
      <c r="H49" s="1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1:F1"/>
    <mergeCell ref="G1:H1"/>
    <mergeCell ref="G3:H3"/>
    <mergeCell ref="A6:B6"/>
    <mergeCell ref="A9:D9"/>
    <mergeCell ref="A10:D10"/>
    <mergeCell ref="G11:H11"/>
    <mergeCell ref="A44:B44"/>
    <mergeCell ref="A45:D47"/>
    <mergeCell ref="E45:H49"/>
    <mergeCell ref="A48:D49"/>
    <mergeCell ref="A11:C11"/>
    <mergeCell ref="A12:B12"/>
    <mergeCell ref="C40:G40"/>
    <mergeCell ref="A41:B41"/>
    <mergeCell ref="A42:B42"/>
    <mergeCell ref="A43:B43"/>
    <mergeCell ref="C44:H44"/>
  </mergeCells>
  <printOptions/>
  <pageMargins bottom="0.0" footer="0.0" header="0.0" left="0.7086614173228347" right="0.7086614173228347" top="0.6299212598425197"/>
  <pageSetup fitToHeight="0" paperSize="9" orientation="portrait"/>
  <headerFooter>
    <oddHeader>&amp;CTAX INVOICE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/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6.29"/>
    <col customWidth="1" min="3" max="3" width="8.57"/>
    <col customWidth="1" min="4" max="4" width="8.29"/>
    <col customWidth="1" min="5" max="5" width="9.57"/>
    <col customWidth="1" min="6" max="6" width="13.29"/>
    <col customWidth="1" min="7" max="7" width="6.29"/>
    <col customWidth="1" min="8" max="8" width="12.57"/>
    <col customWidth="1" min="9" max="26" width="8.71"/>
  </cols>
  <sheetData>
    <row r="1">
      <c r="A1" s="1" t="s">
        <v>0</v>
      </c>
      <c r="B1" s="2"/>
      <c r="C1" s="2"/>
      <c r="D1" s="2"/>
      <c r="E1" s="3" t="s">
        <v>80</v>
      </c>
      <c r="F1" s="4"/>
      <c r="G1" s="3" t="s">
        <v>2</v>
      </c>
      <c r="H1" s="4"/>
    </row>
    <row r="2">
      <c r="A2" s="5" t="s">
        <v>3</v>
      </c>
      <c r="B2" s="6"/>
      <c r="C2" s="6"/>
      <c r="D2" s="6"/>
      <c r="E2" s="7" t="s">
        <v>4</v>
      </c>
      <c r="F2" s="8"/>
      <c r="G2" s="136" t="s">
        <v>81</v>
      </c>
      <c r="H2" s="10"/>
    </row>
    <row r="3">
      <c r="A3" s="11" t="s">
        <v>6</v>
      </c>
      <c r="E3" s="12" t="s">
        <v>7</v>
      </c>
      <c r="F3" s="13"/>
      <c r="G3" s="14" t="s">
        <v>8</v>
      </c>
      <c r="H3" s="15"/>
    </row>
    <row r="4">
      <c r="A4" s="5" t="s">
        <v>9</v>
      </c>
      <c r="D4" s="6"/>
      <c r="E4" s="5" t="s">
        <v>10</v>
      </c>
      <c r="F4" s="6"/>
      <c r="G4" s="16" t="s">
        <v>11</v>
      </c>
      <c r="H4" s="17"/>
    </row>
    <row r="5">
      <c r="A5" s="11" t="s">
        <v>12</v>
      </c>
      <c r="D5" s="6"/>
      <c r="E5" s="18"/>
      <c r="F5" s="19"/>
      <c r="G5" s="20"/>
      <c r="H5" s="21"/>
    </row>
    <row r="6">
      <c r="A6" s="5" t="s">
        <v>13</v>
      </c>
      <c r="C6" s="6"/>
      <c r="D6" s="22"/>
      <c r="E6" s="5" t="s">
        <v>14</v>
      </c>
      <c r="F6" s="6"/>
      <c r="G6" s="23" t="s">
        <v>15</v>
      </c>
      <c r="H6" s="24"/>
    </row>
    <row r="7">
      <c r="A7" s="25" t="s">
        <v>16</v>
      </c>
      <c r="B7" s="22"/>
      <c r="C7" s="22"/>
      <c r="D7" s="26"/>
      <c r="E7" s="20"/>
      <c r="F7" s="19"/>
      <c r="G7" s="20"/>
      <c r="H7" s="27"/>
    </row>
    <row r="8">
      <c r="A8" s="28" t="s">
        <v>17</v>
      </c>
      <c r="B8" s="29"/>
      <c r="C8" s="29"/>
      <c r="D8" s="29"/>
      <c r="E8" s="5" t="s">
        <v>18</v>
      </c>
      <c r="F8" s="6"/>
      <c r="G8" s="30" t="s">
        <v>19</v>
      </c>
      <c r="H8" s="31"/>
    </row>
    <row r="9">
      <c r="A9" s="32" t="s">
        <v>20</v>
      </c>
      <c r="D9" s="33"/>
      <c r="E9" s="20"/>
      <c r="F9" s="19"/>
      <c r="G9" s="20"/>
      <c r="H9" s="21"/>
    </row>
    <row r="10">
      <c r="A10" s="23" t="s">
        <v>21</v>
      </c>
      <c r="D10" s="33"/>
      <c r="E10" s="5" t="s">
        <v>22</v>
      </c>
      <c r="F10" s="6"/>
      <c r="G10" s="34" t="s">
        <v>23</v>
      </c>
      <c r="H10" s="35"/>
    </row>
    <row r="11">
      <c r="A11" s="23" t="s">
        <v>24</v>
      </c>
      <c r="D11" s="36"/>
      <c r="E11" s="37"/>
      <c r="F11" s="19"/>
      <c r="G11" s="38" t="s">
        <v>25</v>
      </c>
      <c r="H11" s="15"/>
    </row>
    <row r="12">
      <c r="A12" s="5" t="s">
        <v>26</v>
      </c>
      <c r="C12" s="22"/>
      <c r="D12" s="22"/>
      <c r="E12" s="7" t="s">
        <v>27</v>
      </c>
      <c r="H12" s="39"/>
    </row>
    <row r="13">
      <c r="A13" s="20"/>
      <c r="B13" s="19"/>
      <c r="C13" s="19"/>
      <c r="D13" s="19"/>
      <c r="E13" s="20"/>
      <c r="H13" s="21"/>
    </row>
    <row r="14">
      <c r="A14" s="40" t="s">
        <v>28</v>
      </c>
      <c r="B14" s="40" t="s">
        <v>29</v>
      </c>
      <c r="C14" s="41" t="s">
        <v>30</v>
      </c>
      <c r="D14" s="42" t="s">
        <v>31</v>
      </c>
      <c r="E14" s="40" t="s">
        <v>32</v>
      </c>
      <c r="F14" s="41" t="s">
        <v>33</v>
      </c>
      <c r="G14" s="40" t="s">
        <v>34</v>
      </c>
      <c r="H14" s="41" t="s">
        <v>35</v>
      </c>
    </row>
    <row r="15">
      <c r="A15" s="43">
        <v>1.0</v>
      </c>
      <c r="B15" s="137" t="s">
        <v>82</v>
      </c>
      <c r="C15" s="138">
        <v>3401.0</v>
      </c>
      <c r="D15" s="139">
        <v>0.18</v>
      </c>
      <c r="E15" s="138">
        <v>168.0</v>
      </c>
      <c r="F15" s="138">
        <v>3.0</v>
      </c>
      <c r="G15" s="140" t="s">
        <v>83</v>
      </c>
      <c r="H15" s="138">
        <v>504.0</v>
      </c>
    </row>
    <row r="16">
      <c r="A16" s="50">
        <v>2.0</v>
      </c>
      <c r="B16" s="141" t="s">
        <v>84</v>
      </c>
      <c r="C16" s="142">
        <v>4818.0</v>
      </c>
      <c r="D16" s="66">
        <v>0.18</v>
      </c>
      <c r="E16" s="142">
        <v>45.0</v>
      </c>
      <c r="F16" s="142">
        <v>60.0</v>
      </c>
      <c r="G16" s="143" t="s">
        <v>85</v>
      </c>
      <c r="H16" s="142">
        <v>2700.0</v>
      </c>
    </row>
    <row r="17">
      <c r="A17" s="50">
        <v>3.0</v>
      </c>
      <c r="B17" s="141" t="s">
        <v>86</v>
      </c>
      <c r="C17" s="142">
        <v>4818.0</v>
      </c>
      <c r="D17" s="66">
        <v>0.18</v>
      </c>
      <c r="E17" s="142">
        <v>850.0</v>
      </c>
      <c r="F17" s="142">
        <v>4.0</v>
      </c>
      <c r="G17" s="143" t="s">
        <v>87</v>
      </c>
      <c r="H17" s="142">
        <v>3400.0</v>
      </c>
    </row>
    <row r="18">
      <c r="A18" s="50">
        <v>4.0</v>
      </c>
      <c r="B18" s="141" t="s">
        <v>88</v>
      </c>
      <c r="C18" s="142">
        <v>4818.0</v>
      </c>
      <c r="D18" s="66">
        <v>0.18</v>
      </c>
      <c r="E18" s="142">
        <v>110.0</v>
      </c>
      <c r="F18" s="142">
        <v>10.0</v>
      </c>
      <c r="G18" s="143" t="s">
        <v>89</v>
      </c>
      <c r="H18" s="142">
        <v>1100.0</v>
      </c>
    </row>
    <row r="19">
      <c r="A19" s="50">
        <v>5.0</v>
      </c>
      <c r="B19" s="141" t="s">
        <v>90</v>
      </c>
      <c r="C19" s="142">
        <v>3307.0</v>
      </c>
      <c r="D19" s="66">
        <v>0.18</v>
      </c>
      <c r="E19" s="142">
        <v>120.0</v>
      </c>
      <c r="F19" s="142">
        <v>10.0</v>
      </c>
      <c r="G19" s="143" t="s">
        <v>91</v>
      </c>
      <c r="H19" s="142">
        <v>1200.0</v>
      </c>
    </row>
    <row r="20">
      <c r="A20" s="50">
        <v>6.0</v>
      </c>
      <c r="B20" s="141" t="s">
        <v>92</v>
      </c>
      <c r="C20" s="142">
        <v>3402.0</v>
      </c>
      <c r="D20" s="66">
        <v>0.18</v>
      </c>
      <c r="E20" s="142">
        <v>130.0</v>
      </c>
      <c r="F20" s="142">
        <v>1.0</v>
      </c>
      <c r="G20" s="143" t="s">
        <v>93</v>
      </c>
      <c r="H20" s="142">
        <v>130.0</v>
      </c>
    </row>
    <row r="21" ht="15.75" customHeight="1">
      <c r="A21" s="50">
        <v>7.0</v>
      </c>
      <c r="B21" s="141" t="s">
        <v>94</v>
      </c>
      <c r="C21" s="142">
        <v>3402.0</v>
      </c>
      <c r="D21" s="66">
        <v>0.18</v>
      </c>
      <c r="E21" s="142">
        <v>75.0</v>
      </c>
      <c r="F21" s="142">
        <v>4.0</v>
      </c>
      <c r="G21" s="143" t="s">
        <v>95</v>
      </c>
      <c r="H21" s="142">
        <v>300.0</v>
      </c>
    </row>
    <row r="22" ht="15.75" customHeight="1">
      <c r="A22" s="50">
        <v>8.0</v>
      </c>
      <c r="B22" s="141" t="s">
        <v>96</v>
      </c>
      <c r="C22" s="142">
        <v>4015.0</v>
      </c>
      <c r="D22" s="66">
        <v>0.18</v>
      </c>
      <c r="E22" s="142">
        <v>60.0</v>
      </c>
      <c r="F22" s="142">
        <v>1.0</v>
      </c>
      <c r="G22" s="143" t="s">
        <v>97</v>
      </c>
      <c r="H22" s="142">
        <v>60.0</v>
      </c>
    </row>
    <row r="23" ht="12.75" customHeight="1">
      <c r="A23" s="50">
        <v>9.0</v>
      </c>
      <c r="B23" s="141" t="s">
        <v>98</v>
      </c>
      <c r="C23" s="142">
        <v>3924.0</v>
      </c>
      <c r="D23" s="66">
        <v>0.18</v>
      </c>
      <c r="E23" s="142">
        <v>97.0</v>
      </c>
      <c r="F23" s="142">
        <v>28.0</v>
      </c>
      <c r="G23" s="143" t="s">
        <v>99</v>
      </c>
      <c r="H23" s="142">
        <v>2716.0</v>
      </c>
    </row>
    <row r="24" ht="12.75" customHeight="1">
      <c r="A24" s="74"/>
      <c r="B24" s="132"/>
      <c r="C24" s="76"/>
      <c r="D24" s="133"/>
      <c r="E24" s="68"/>
      <c r="F24" s="45"/>
      <c r="G24" s="62"/>
      <c r="H24" s="48"/>
    </row>
    <row r="25" ht="15.75" customHeight="1">
      <c r="A25" s="74"/>
      <c r="B25" s="44"/>
      <c r="C25" s="51"/>
      <c r="D25" s="46"/>
      <c r="E25" s="45"/>
      <c r="F25" s="48"/>
      <c r="G25" s="48"/>
      <c r="H25" s="48"/>
    </row>
    <row r="26" ht="15.75" customHeight="1">
      <c r="A26" s="102"/>
      <c r="B26" s="63"/>
      <c r="C26" s="80"/>
      <c r="D26" s="81"/>
      <c r="E26" s="82"/>
      <c r="F26" s="83"/>
      <c r="G26" s="84"/>
      <c r="H26" s="58"/>
    </row>
    <row r="27" ht="15.75" customHeight="1">
      <c r="A27" s="79"/>
      <c r="B27" s="63"/>
      <c r="C27" s="80"/>
      <c r="D27" s="81"/>
      <c r="E27" s="82"/>
      <c r="F27" s="83"/>
      <c r="G27" s="84"/>
      <c r="H27" s="58"/>
    </row>
    <row r="28" ht="15.75" customHeight="1">
      <c r="A28" s="79"/>
      <c r="B28" s="85"/>
      <c r="C28" s="86"/>
      <c r="D28" s="81"/>
      <c r="E28" s="82"/>
      <c r="F28" s="83"/>
      <c r="G28" s="84"/>
      <c r="H28" s="58"/>
    </row>
    <row r="29" ht="15.75" customHeight="1">
      <c r="A29" s="87"/>
      <c r="B29" s="88"/>
      <c r="C29" s="89"/>
      <c r="D29" s="90"/>
      <c r="E29" s="91"/>
      <c r="F29" s="84"/>
      <c r="G29" s="92"/>
      <c r="H29" s="63"/>
    </row>
    <row r="30" ht="15.75" customHeight="1">
      <c r="A30" s="87"/>
      <c r="B30" s="93"/>
      <c r="C30" s="57"/>
      <c r="D30" s="90"/>
      <c r="E30" s="94"/>
      <c r="F30" s="84"/>
      <c r="G30" s="84"/>
      <c r="H30" s="63"/>
    </row>
    <row r="31" ht="15.75" customHeight="1">
      <c r="A31" s="63"/>
      <c r="B31" s="95"/>
      <c r="C31" s="96"/>
      <c r="D31" s="97"/>
      <c r="E31" s="96"/>
      <c r="F31" s="98"/>
      <c r="G31" s="98"/>
      <c r="H31" s="99"/>
    </row>
    <row r="32" ht="15.75" customHeight="1">
      <c r="A32" s="28"/>
      <c r="B32" s="100" t="s">
        <v>52</v>
      </c>
      <c r="C32" s="101"/>
      <c r="D32" s="101"/>
      <c r="E32" s="28"/>
      <c r="F32" s="101"/>
      <c r="G32" s="28"/>
      <c r="H32" s="144">
        <f>SUM(H15:H23)</f>
        <v>12110</v>
      </c>
    </row>
    <row r="33" ht="15.75" customHeight="1">
      <c r="A33" s="11"/>
      <c r="B33" s="102"/>
      <c r="C33" s="63"/>
      <c r="D33" s="63"/>
      <c r="E33" s="11"/>
      <c r="F33" s="63"/>
      <c r="G33" s="11"/>
      <c r="H33" s="63"/>
    </row>
    <row r="34" ht="15.75" customHeight="1">
      <c r="A34" s="11"/>
      <c r="B34" s="102" t="s">
        <v>53</v>
      </c>
      <c r="C34" s="63"/>
      <c r="D34" s="63"/>
      <c r="E34" s="11"/>
      <c r="F34" s="63">
        <v>9.0</v>
      </c>
      <c r="G34" s="11" t="s">
        <v>54</v>
      </c>
      <c r="H34" s="104">
        <f>(H32)*9%</f>
        <v>1089.9</v>
      </c>
    </row>
    <row r="35" ht="15.75" customHeight="1">
      <c r="A35" s="11"/>
      <c r="B35" s="102" t="s">
        <v>55</v>
      </c>
      <c r="C35" s="63"/>
      <c r="D35" s="63"/>
      <c r="E35" s="11"/>
      <c r="F35" s="63">
        <v>9.0</v>
      </c>
      <c r="G35" s="11" t="s">
        <v>54</v>
      </c>
      <c r="H35" s="104">
        <f>(H32)*9%</f>
        <v>1089.9</v>
      </c>
    </row>
    <row r="36" ht="15.75" customHeight="1">
      <c r="A36" s="11"/>
      <c r="B36" s="102"/>
      <c r="C36" s="63"/>
      <c r="D36" s="63"/>
      <c r="E36" s="11"/>
      <c r="F36" s="63"/>
      <c r="G36" s="11"/>
      <c r="H36" s="104"/>
    </row>
    <row r="37" ht="15.75" customHeight="1">
      <c r="A37" s="11"/>
      <c r="B37" s="102"/>
      <c r="C37" s="63"/>
      <c r="D37" s="63"/>
      <c r="E37" s="11"/>
      <c r="F37" s="63"/>
      <c r="G37" s="11"/>
      <c r="H37" s="104"/>
    </row>
    <row r="38" ht="15.75" customHeight="1">
      <c r="A38" s="11"/>
      <c r="B38" s="102"/>
      <c r="C38" s="63"/>
      <c r="D38" s="63"/>
      <c r="E38" s="11"/>
      <c r="F38" s="63"/>
      <c r="G38" s="11"/>
      <c r="H38" s="63"/>
    </row>
    <row r="39" ht="15.75" customHeight="1">
      <c r="A39" s="11"/>
      <c r="B39" s="102"/>
      <c r="C39" s="63"/>
      <c r="D39" s="63"/>
      <c r="E39" s="11"/>
      <c r="F39" s="63"/>
      <c r="G39" s="11"/>
      <c r="H39" s="63"/>
    </row>
    <row r="40" ht="15.75" customHeight="1">
      <c r="A40" s="40"/>
      <c r="B40" s="105" t="s">
        <v>56</v>
      </c>
      <c r="C40" s="106"/>
      <c r="D40" s="107"/>
      <c r="E40" s="107"/>
      <c r="F40" s="107"/>
      <c r="G40" s="4"/>
      <c r="H40" s="145">
        <f>SUM(H34:H35)</f>
        <v>2179.8</v>
      </c>
    </row>
    <row r="41" ht="14.25" customHeight="1">
      <c r="A41" s="109" t="s">
        <v>57</v>
      </c>
      <c r="B41" s="4"/>
      <c r="C41" s="40"/>
      <c r="D41" s="110"/>
      <c r="E41" s="110"/>
      <c r="F41" s="110"/>
      <c r="G41" s="110"/>
      <c r="H41" s="111">
        <f>SUM(H32+H40)</f>
        <v>14289.8</v>
      </c>
    </row>
    <row r="42" ht="14.25" customHeight="1">
      <c r="A42" s="109" t="s">
        <v>58</v>
      </c>
      <c r="B42" s="4"/>
      <c r="C42" s="40"/>
      <c r="D42" s="110"/>
      <c r="E42" s="110"/>
      <c r="F42" s="110"/>
      <c r="G42" s="110"/>
      <c r="H42" s="112">
        <v>0.8</v>
      </c>
    </row>
    <row r="43" ht="14.25" customHeight="1">
      <c r="A43" s="109" t="s">
        <v>59</v>
      </c>
      <c r="B43" s="4"/>
      <c r="C43" s="40"/>
      <c r="D43" s="110"/>
      <c r="E43" s="110"/>
      <c r="F43" s="110"/>
      <c r="G43" s="110"/>
      <c r="H43" s="111">
        <f>H41-H42</f>
        <v>14289</v>
      </c>
    </row>
    <row r="44" ht="14.25" customHeight="1">
      <c r="A44" s="113" t="s">
        <v>60</v>
      </c>
      <c r="B44" s="4"/>
      <c r="C44" s="146" t="s">
        <v>100</v>
      </c>
      <c r="D44" s="107"/>
      <c r="E44" s="107"/>
      <c r="F44" s="107"/>
      <c r="G44" s="107"/>
      <c r="H44" s="4"/>
    </row>
    <row r="45" ht="15.0" customHeight="1">
      <c r="A45" s="115" t="s">
        <v>62</v>
      </c>
      <c r="B45" s="116"/>
      <c r="C45" s="116"/>
      <c r="D45" s="117"/>
      <c r="E45" s="118" t="s">
        <v>63</v>
      </c>
      <c r="F45" s="116"/>
      <c r="G45" s="116"/>
      <c r="H45" s="117"/>
    </row>
    <row r="46" ht="15.75" customHeight="1">
      <c r="A46" s="119"/>
      <c r="D46" s="33"/>
      <c r="E46" s="119"/>
      <c r="H46" s="33"/>
    </row>
    <row r="47" ht="20.25" customHeight="1">
      <c r="A47" s="120"/>
      <c r="B47" s="121"/>
      <c r="C47" s="121"/>
      <c r="D47" s="15"/>
      <c r="E47" s="119"/>
      <c r="H47" s="33"/>
    </row>
    <row r="48" ht="15.75" customHeight="1">
      <c r="A48" s="122" t="s">
        <v>64</v>
      </c>
      <c r="B48" s="116"/>
      <c r="C48" s="116"/>
      <c r="D48" s="117"/>
      <c r="E48" s="119"/>
      <c r="H48" s="33"/>
    </row>
    <row r="49" ht="8.25" customHeight="1">
      <c r="A49" s="120"/>
      <c r="B49" s="121"/>
      <c r="C49" s="121"/>
      <c r="D49" s="15"/>
      <c r="E49" s="120"/>
      <c r="F49" s="121"/>
      <c r="G49" s="121"/>
      <c r="H49" s="1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1:F1"/>
    <mergeCell ref="G1:H1"/>
    <mergeCell ref="G3:H3"/>
    <mergeCell ref="A6:B6"/>
    <mergeCell ref="A9:D9"/>
    <mergeCell ref="A10:D10"/>
    <mergeCell ref="G11:H11"/>
    <mergeCell ref="A44:B44"/>
    <mergeCell ref="A45:D47"/>
    <mergeCell ref="E45:H49"/>
    <mergeCell ref="A48:D49"/>
    <mergeCell ref="A11:C11"/>
    <mergeCell ref="A12:B12"/>
    <mergeCell ref="C40:G40"/>
    <mergeCell ref="A41:B41"/>
    <mergeCell ref="A42:B42"/>
    <mergeCell ref="A43:B43"/>
    <mergeCell ref="C44:H44"/>
  </mergeCells>
  <printOptions/>
  <pageMargins bottom="0.0" footer="0.0" header="0.0" left="0.7086614173228347" right="0.7086614173228347" top="0.6299212598425197"/>
  <pageSetup fitToHeight="0" paperSize="9" orientation="portrait"/>
  <headerFooter>
    <oddHeader>&amp;CTAX INVOICE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3.71"/>
    <col customWidth="1" min="3" max="3" width="8.57"/>
    <col customWidth="1" min="4" max="4" width="8.29"/>
    <col customWidth="1" min="5" max="5" width="9.57"/>
    <col customWidth="1" min="6" max="6" width="13.29"/>
    <col customWidth="1" min="7" max="7" width="6.29"/>
    <col customWidth="1" min="8" max="8" width="11.14"/>
    <col customWidth="1" min="9" max="26" width="8.71"/>
  </cols>
  <sheetData>
    <row r="1">
      <c r="A1" s="1" t="s">
        <v>0</v>
      </c>
      <c r="B1" s="2"/>
      <c r="C1" s="2"/>
      <c r="D1" s="2"/>
      <c r="E1" s="3" t="s">
        <v>101</v>
      </c>
      <c r="F1" s="4"/>
      <c r="G1" s="147" t="s">
        <v>102</v>
      </c>
      <c r="H1" s="117"/>
    </row>
    <row r="2">
      <c r="A2" s="5" t="s">
        <v>3</v>
      </c>
      <c r="B2" s="6"/>
      <c r="C2" s="6"/>
      <c r="D2" s="6"/>
      <c r="E2" s="7" t="s">
        <v>4</v>
      </c>
      <c r="F2" s="8"/>
      <c r="G2" s="148" t="s">
        <v>103</v>
      </c>
      <c r="H2" s="10"/>
    </row>
    <row r="3">
      <c r="A3" s="11" t="s">
        <v>6</v>
      </c>
      <c r="E3" s="12" t="s">
        <v>7</v>
      </c>
      <c r="F3" s="13"/>
      <c r="G3" s="14" t="s">
        <v>104</v>
      </c>
      <c r="H3" s="15"/>
    </row>
    <row r="4">
      <c r="A4" s="5" t="s">
        <v>9</v>
      </c>
      <c r="D4" s="6"/>
      <c r="E4" s="5" t="s">
        <v>10</v>
      </c>
      <c r="F4" s="6"/>
      <c r="G4" s="16" t="s">
        <v>11</v>
      </c>
      <c r="H4" s="35"/>
    </row>
    <row r="5">
      <c r="A5" s="11" t="s">
        <v>12</v>
      </c>
      <c r="D5" s="6"/>
      <c r="E5" s="18"/>
      <c r="F5" s="19"/>
      <c r="G5" s="20"/>
      <c r="H5" s="21"/>
    </row>
    <row r="6">
      <c r="A6" s="5" t="s">
        <v>13</v>
      </c>
      <c r="C6" s="6"/>
      <c r="D6" s="22"/>
      <c r="E6" s="5" t="s">
        <v>14</v>
      </c>
      <c r="F6" s="6"/>
      <c r="G6" s="23" t="s">
        <v>15</v>
      </c>
      <c r="H6" s="24"/>
    </row>
    <row r="7">
      <c r="A7" s="25" t="s">
        <v>16</v>
      </c>
      <c r="B7" s="22"/>
      <c r="C7" s="22"/>
      <c r="D7" s="26"/>
      <c r="E7" s="20"/>
      <c r="F7" s="19"/>
      <c r="G7" s="20"/>
      <c r="H7" s="27"/>
    </row>
    <row r="8">
      <c r="A8" s="28" t="s">
        <v>17</v>
      </c>
      <c r="B8" s="29"/>
      <c r="C8" s="29"/>
      <c r="D8" s="29"/>
      <c r="E8" s="5" t="s">
        <v>18</v>
      </c>
      <c r="F8" s="6"/>
      <c r="G8" s="30" t="s">
        <v>19</v>
      </c>
      <c r="H8" s="31"/>
    </row>
    <row r="9">
      <c r="A9" s="32" t="s">
        <v>20</v>
      </c>
      <c r="D9" s="33"/>
      <c r="E9" s="20"/>
      <c r="F9" s="19"/>
      <c r="G9" s="20"/>
      <c r="H9" s="21"/>
    </row>
    <row r="10">
      <c r="A10" s="23" t="s">
        <v>21</v>
      </c>
      <c r="D10" s="33"/>
      <c r="E10" s="5" t="s">
        <v>22</v>
      </c>
      <c r="F10" s="6"/>
      <c r="G10" s="34" t="s">
        <v>23</v>
      </c>
      <c r="H10" s="35"/>
    </row>
    <row r="11">
      <c r="A11" s="23" t="s">
        <v>24</v>
      </c>
      <c r="D11" s="36"/>
      <c r="E11" s="37"/>
      <c r="F11" s="19"/>
      <c r="G11" s="38" t="s">
        <v>105</v>
      </c>
      <c r="H11" s="15"/>
    </row>
    <row r="12">
      <c r="A12" s="5" t="s">
        <v>26</v>
      </c>
      <c r="C12" s="22"/>
      <c r="D12" s="22"/>
      <c r="E12" s="7" t="s">
        <v>27</v>
      </c>
      <c r="H12" s="39"/>
    </row>
    <row r="13">
      <c r="A13" s="20"/>
      <c r="B13" s="19"/>
      <c r="C13" s="19"/>
      <c r="D13" s="19"/>
      <c r="E13" s="20"/>
      <c r="H13" s="21"/>
    </row>
    <row r="14">
      <c r="A14" s="40" t="s">
        <v>28</v>
      </c>
      <c r="B14" s="28" t="s">
        <v>29</v>
      </c>
      <c r="C14" s="101" t="s">
        <v>30</v>
      </c>
      <c r="D14" s="149" t="s">
        <v>31</v>
      </c>
      <c r="E14" s="28" t="s">
        <v>32</v>
      </c>
      <c r="F14" s="101" t="s">
        <v>33</v>
      </c>
      <c r="G14" s="28" t="s">
        <v>34</v>
      </c>
      <c r="H14" s="101" t="s">
        <v>35</v>
      </c>
    </row>
    <row r="15">
      <c r="A15" s="150">
        <v>1.0</v>
      </c>
      <c r="B15" s="132" t="s">
        <v>106</v>
      </c>
      <c r="C15" s="68">
        <v>4818.0</v>
      </c>
      <c r="D15" s="151">
        <v>0.18</v>
      </c>
      <c r="E15" s="68">
        <v>110.0</v>
      </c>
      <c r="F15" s="45">
        <v>20.0</v>
      </c>
      <c r="G15" s="152" t="s">
        <v>43</v>
      </c>
      <c r="H15" s="68">
        <f t="shared" ref="H15:H18" si="1">F15*E15</f>
        <v>2200</v>
      </c>
    </row>
    <row r="16">
      <c r="A16" s="50">
        <v>2.0</v>
      </c>
      <c r="B16" s="53" t="s">
        <v>44</v>
      </c>
      <c r="C16" s="54">
        <v>9603.0</v>
      </c>
      <c r="D16" s="66">
        <v>0.0</v>
      </c>
      <c r="E16" s="67">
        <v>140.0</v>
      </c>
      <c r="F16" s="78">
        <v>2.0</v>
      </c>
      <c r="G16" s="58" t="s">
        <v>37</v>
      </c>
      <c r="H16" s="153">
        <f t="shared" si="1"/>
        <v>280</v>
      </c>
    </row>
    <row r="17">
      <c r="A17" s="50">
        <v>3.0</v>
      </c>
      <c r="B17" s="44" t="s">
        <v>107</v>
      </c>
      <c r="C17" s="51">
        <v>9603.0</v>
      </c>
      <c r="D17" s="46">
        <v>0.18</v>
      </c>
      <c r="E17" s="51">
        <v>680.0</v>
      </c>
      <c r="F17" s="154">
        <v>2.0</v>
      </c>
      <c r="G17" s="155" t="s">
        <v>37</v>
      </c>
      <c r="H17" s="45">
        <f t="shared" si="1"/>
        <v>1360</v>
      </c>
    </row>
    <row r="18">
      <c r="A18" s="50">
        <v>4.0</v>
      </c>
      <c r="B18" s="63" t="s">
        <v>42</v>
      </c>
      <c r="C18" s="64">
        <v>3926.0</v>
      </c>
      <c r="D18" s="55">
        <v>0.18</v>
      </c>
      <c r="E18" s="123">
        <v>120.0</v>
      </c>
      <c r="F18" s="78">
        <v>10.0</v>
      </c>
      <c r="G18" s="58" t="s">
        <v>43</v>
      </c>
      <c r="H18" s="124">
        <f t="shared" si="1"/>
        <v>1200</v>
      </c>
    </row>
    <row r="19">
      <c r="A19" s="50"/>
      <c r="B19" s="141"/>
      <c r="C19" s="142"/>
      <c r="D19" s="66"/>
      <c r="E19" s="142"/>
      <c r="F19" s="142"/>
      <c r="G19" s="143"/>
      <c r="H19" s="142"/>
    </row>
    <row r="20">
      <c r="A20" s="50"/>
      <c r="B20" s="141"/>
      <c r="C20" s="142"/>
      <c r="D20" s="66"/>
      <c r="E20" s="142"/>
      <c r="F20" s="142"/>
      <c r="G20" s="143"/>
      <c r="H20" s="142"/>
    </row>
    <row r="21" ht="15.75" customHeight="1">
      <c r="A21" s="50"/>
      <c r="B21" s="141"/>
      <c r="C21" s="142"/>
      <c r="D21" s="66"/>
      <c r="E21" s="142"/>
      <c r="F21" s="142"/>
      <c r="G21" s="143"/>
      <c r="H21" s="142"/>
    </row>
    <row r="22" ht="15.75" customHeight="1">
      <c r="A22" s="50"/>
      <c r="B22" s="141"/>
      <c r="C22" s="142"/>
      <c r="D22" s="66"/>
      <c r="E22" s="142"/>
      <c r="F22" s="142"/>
      <c r="G22" s="143"/>
      <c r="H22" s="142"/>
    </row>
    <row r="23" ht="12.75" customHeight="1">
      <c r="A23" s="50"/>
      <c r="B23" s="141"/>
      <c r="C23" s="142"/>
      <c r="D23" s="66"/>
      <c r="E23" s="142"/>
      <c r="F23" s="142"/>
      <c r="G23" s="143"/>
      <c r="H23" s="142"/>
    </row>
    <row r="24" ht="12.75" customHeight="1">
      <c r="A24" s="50"/>
      <c r="B24" s="63"/>
      <c r="C24" s="156"/>
      <c r="D24" s="81"/>
      <c r="E24" s="156"/>
      <c r="F24" s="156"/>
      <c r="G24" s="156"/>
      <c r="H24" s="157"/>
    </row>
    <row r="25" ht="15.75" customHeight="1">
      <c r="A25" s="63"/>
      <c r="B25" s="95"/>
      <c r="C25" s="96"/>
      <c r="D25" s="97"/>
      <c r="E25" s="96"/>
      <c r="F25" s="98"/>
      <c r="G25" s="98"/>
      <c r="H25" s="99"/>
    </row>
    <row r="26" ht="15.75" customHeight="1">
      <c r="A26" s="28"/>
      <c r="B26" s="100" t="s">
        <v>52</v>
      </c>
      <c r="C26" s="101"/>
      <c r="D26" s="101"/>
      <c r="E26" s="28"/>
      <c r="F26" s="101"/>
      <c r="G26" s="28"/>
      <c r="H26" s="158">
        <f>SUM(H15:H23)</f>
        <v>5040</v>
      </c>
    </row>
    <row r="27" ht="15.75" customHeight="1">
      <c r="A27" s="11"/>
      <c r="B27" s="102"/>
      <c r="C27" s="63"/>
      <c r="D27" s="63"/>
      <c r="E27" s="11"/>
      <c r="F27" s="63"/>
      <c r="G27" s="11"/>
      <c r="H27" s="63"/>
    </row>
    <row r="28" ht="15.75" customHeight="1">
      <c r="A28" s="11"/>
      <c r="B28" s="102" t="s">
        <v>53</v>
      </c>
      <c r="C28" s="63"/>
      <c r="D28" s="63"/>
      <c r="E28" s="11"/>
      <c r="F28" s="63">
        <v>9.0</v>
      </c>
      <c r="G28" s="11" t="s">
        <v>54</v>
      </c>
      <c r="H28" s="159">
        <v>428.4</v>
      </c>
    </row>
    <row r="29" ht="15.75" customHeight="1">
      <c r="A29" s="11"/>
      <c r="B29" s="102" t="s">
        <v>55</v>
      </c>
      <c r="C29" s="63"/>
      <c r="D29" s="63"/>
      <c r="E29" s="11"/>
      <c r="F29" s="63">
        <v>9.0</v>
      </c>
      <c r="G29" s="11" t="s">
        <v>54</v>
      </c>
      <c r="H29" s="159">
        <v>428.4</v>
      </c>
    </row>
    <row r="30" ht="15.75" customHeight="1">
      <c r="A30" s="11"/>
      <c r="B30" s="102"/>
      <c r="C30" s="63"/>
      <c r="D30" s="63"/>
      <c r="E30" s="11"/>
      <c r="F30" s="63"/>
      <c r="G30" s="11"/>
      <c r="H30" s="104"/>
    </row>
    <row r="31" ht="15.75" customHeight="1">
      <c r="A31" s="11"/>
      <c r="B31" s="102"/>
      <c r="C31" s="63"/>
      <c r="D31" s="63"/>
      <c r="E31" s="11"/>
      <c r="F31" s="63"/>
      <c r="G31" s="11"/>
      <c r="H31" s="104"/>
    </row>
    <row r="32" ht="15.75" customHeight="1">
      <c r="A32" s="11"/>
      <c r="B32" s="102"/>
      <c r="C32" s="63"/>
      <c r="D32" s="63"/>
      <c r="E32" s="11"/>
      <c r="F32" s="63"/>
      <c r="G32" s="11"/>
      <c r="H32" s="63"/>
    </row>
    <row r="33" ht="15.75" customHeight="1">
      <c r="A33" s="11"/>
      <c r="B33" s="102"/>
      <c r="C33" s="63"/>
      <c r="D33" s="63"/>
      <c r="E33" s="11"/>
      <c r="F33" s="63"/>
      <c r="G33" s="11"/>
      <c r="H33" s="63"/>
    </row>
    <row r="34" ht="15.75" customHeight="1">
      <c r="A34" s="40"/>
      <c r="B34" s="105" t="s">
        <v>56</v>
      </c>
      <c r="C34" s="106"/>
      <c r="D34" s="107"/>
      <c r="E34" s="107"/>
      <c r="F34" s="107"/>
      <c r="G34" s="4"/>
      <c r="H34" s="160">
        <f>SUM(H28:H33)</f>
        <v>856.8</v>
      </c>
    </row>
    <row r="35" ht="14.25" customHeight="1">
      <c r="A35" s="109" t="s">
        <v>57</v>
      </c>
      <c r="B35" s="4"/>
      <c r="C35" s="40"/>
      <c r="D35" s="110"/>
      <c r="E35" s="110"/>
      <c r="F35" s="110"/>
      <c r="G35" s="110"/>
      <c r="H35" s="111">
        <f>SUM(H26+H34)</f>
        <v>5896.8</v>
      </c>
    </row>
    <row r="36" ht="14.25" customHeight="1">
      <c r="A36" s="109" t="s">
        <v>58</v>
      </c>
      <c r="B36" s="4"/>
      <c r="C36" s="40"/>
      <c r="D36" s="110"/>
      <c r="E36" s="110"/>
      <c r="F36" s="110"/>
      <c r="G36" s="110"/>
      <c r="H36" s="111">
        <v>0.8</v>
      </c>
    </row>
    <row r="37" ht="14.25" customHeight="1">
      <c r="A37" s="109" t="s">
        <v>59</v>
      </c>
      <c r="B37" s="4"/>
      <c r="C37" s="40"/>
      <c r="D37" s="110"/>
      <c r="E37" s="110"/>
      <c r="F37" s="110"/>
      <c r="G37" s="110"/>
      <c r="H37" s="111">
        <f>H35-H36</f>
        <v>5896</v>
      </c>
    </row>
    <row r="38" ht="14.25" customHeight="1">
      <c r="A38" s="113" t="s">
        <v>60</v>
      </c>
      <c r="B38" s="4"/>
      <c r="C38" s="135" t="s">
        <v>108</v>
      </c>
      <c r="D38" s="107"/>
      <c r="E38" s="107"/>
      <c r="F38" s="107"/>
      <c r="G38" s="107"/>
      <c r="H38" s="4"/>
    </row>
    <row r="39" ht="15.0" customHeight="1">
      <c r="A39" s="115" t="s">
        <v>62</v>
      </c>
      <c r="B39" s="116"/>
      <c r="C39" s="116"/>
      <c r="D39" s="117"/>
      <c r="E39" s="118" t="s">
        <v>63</v>
      </c>
      <c r="F39" s="116"/>
      <c r="G39" s="116"/>
      <c r="H39" s="117"/>
    </row>
    <row r="40" ht="15.75" customHeight="1">
      <c r="A40" s="119"/>
      <c r="D40" s="33"/>
      <c r="E40" s="119"/>
      <c r="H40" s="33"/>
    </row>
    <row r="41" ht="20.25" customHeight="1">
      <c r="A41" s="120"/>
      <c r="B41" s="121"/>
      <c r="C41" s="121"/>
      <c r="D41" s="15"/>
      <c r="E41" s="119"/>
      <c r="H41" s="33"/>
    </row>
    <row r="42" ht="15.75" customHeight="1">
      <c r="A42" s="122" t="s">
        <v>64</v>
      </c>
      <c r="B42" s="116"/>
      <c r="C42" s="116"/>
      <c r="D42" s="117"/>
      <c r="E42" s="119"/>
      <c r="H42" s="33"/>
    </row>
    <row r="43" ht="8.25" customHeight="1">
      <c r="A43" s="120"/>
      <c r="B43" s="121"/>
      <c r="C43" s="121"/>
      <c r="D43" s="15"/>
      <c r="E43" s="120"/>
      <c r="F43" s="121"/>
      <c r="G43" s="121"/>
      <c r="H43" s="1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8">
    <mergeCell ref="E1:F1"/>
    <mergeCell ref="G1:H1"/>
    <mergeCell ref="G3:H3"/>
    <mergeCell ref="A6:B6"/>
    <mergeCell ref="A9:D9"/>
    <mergeCell ref="A10:D10"/>
    <mergeCell ref="G11:H11"/>
    <mergeCell ref="A38:B38"/>
    <mergeCell ref="A39:D41"/>
    <mergeCell ref="E39:H43"/>
    <mergeCell ref="A42:D43"/>
    <mergeCell ref="A11:C11"/>
    <mergeCell ref="A12:B12"/>
    <mergeCell ref="C34:G34"/>
    <mergeCell ref="A35:B35"/>
    <mergeCell ref="A36:B36"/>
    <mergeCell ref="A37:B37"/>
    <mergeCell ref="C38:H38"/>
  </mergeCells>
  <printOptions/>
  <pageMargins bottom="0.0" footer="0.0" header="0.0" left="0.7086614173228347" right="0.7086614173228347" top="0.6299212598425197"/>
  <pageSetup fitToHeight="0" paperSize="9" orientation="portrait"/>
  <headerFooter>
    <oddHeader>&amp;CTAX INVOICE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3.71"/>
    <col customWidth="1" min="3" max="3" width="8.57"/>
    <col customWidth="1" min="4" max="4" width="8.29"/>
    <col customWidth="1" min="5" max="5" width="9.57"/>
    <col customWidth="1" min="6" max="6" width="13.29"/>
    <col customWidth="1" min="7" max="7" width="6.29"/>
    <col customWidth="1" min="8" max="8" width="11.14"/>
    <col customWidth="1" min="9" max="26" width="8.71"/>
  </cols>
  <sheetData>
    <row r="1">
      <c r="A1" s="1" t="s">
        <v>0</v>
      </c>
      <c r="B1" s="2"/>
      <c r="C1" s="2"/>
      <c r="D1" s="2"/>
      <c r="E1" s="161" t="s">
        <v>109</v>
      </c>
      <c r="F1" s="4"/>
      <c r="G1" s="161" t="s">
        <v>110</v>
      </c>
      <c r="H1" s="4"/>
    </row>
    <row r="2">
      <c r="A2" s="5" t="s">
        <v>3</v>
      </c>
      <c r="B2" s="6"/>
      <c r="C2" s="6"/>
      <c r="D2" s="6"/>
      <c r="E2" s="7" t="s">
        <v>4</v>
      </c>
      <c r="F2" s="8"/>
      <c r="G2" s="122" t="s">
        <v>111</v>
      </c>
      <c r="H2" s="10"/>
    </row>
    <row r="3">
      <c r="A3" s="11" t="s">
        <v>6</v>
      </c>
      <c r="E3" s="12" t="s">
        <v>7</v>
      </c>
      <c r="F3" s="13"/>
      <c r="G3" s="162" t="s">
        <v>112</v>
      </c>
      <c r="H3" s="15"/>
    </row>
    <row r="4">
      <c r="A4" s="5" t="s">
        <v>9</v>
      </c>
      <c r="D4" s="6"/>
      <c r="E4" s="5" t="s">
        <v>10</v>
      </c>
      <c r="F4" s="6"/>
      <c r="G4" s="16" t="s">
        <v>11</v>
      </c>
      <c r="H4" s="35"/>
    </row>
    <row r="5">
      <c r="A5" s="11" t="s">
        <v>12</v>
      </c>
      <c r="D5" s="6"/>
      <c r="E5" s="18"/>
      <c r="F5" s="19"/>
      <c r="G5" s="20"/>
      <c r="H5" s="21"/>
    </row>
    <row r="6">
      <c r="A6" s="5" t="s">
        <v>13</v>
      </c>
      <c r="C6" s="6"/>
      <c r="D6" s="22"/>
      <c r="E6" s="5" t="s">
        <v>14</v>
      </c>
      <c r="F6" s="6"/>
      <c r="G6" s="23" t="s">
        <v>15</v>
      </c>
      <c r="H6" s="24"/>
    </row>
    <row r="7">
      <c r="A7" s="25" t="s">
        <v>16</v>
      </c>
      <c r="B7" s="22"/>
      <c r="C7" s="22"/>
      <c r="D7" s="26"/>
      <c r="E7" s="20"/>
      <c r="F7" s="19"/>
      <c r="G7" s="20"/>
      <c r="H7" s="27"/>
    </row>
    <row r="8">
      <c r="A8" s="28" t="s">
        <v>17</v>
      </c>
      <c r="B8" s="29"/>
      <c r="C8" s="29"/>
      <c r="D8" s="29"/>
      <c r="E8" s="5" t="s">
        <v>18</v>
      </c>
      <c r="F8" s="6"/>
      <c r="G8" s="30" t="s">
        <v>19</v>
      </c>
      <c r="H8" s="31"/>
    </row>
    <row r="9">
      <c r="A9" s="32" t="s">
        <v>20</v>
      </c>
      <c r="D9" s="33"/>
      <c r="E9" s="20"/>
      <c r="F9" s="19"/>
      <c r="G9" s="20"/>
      <c r="H9" s="21"/>
    </row>
    <row r="10">
      <c r="A10" s="23" t="s">
        <v>21</v>
      </c>
      <c r="D10" s="33"/>
      <c r="E10" s="5" t="s">
        <v>22</v>
      </c>
      <c r="F10" s="6"/>
      <c r="G10" s="34" t="s">
        <v>23</v>
      </c>
      <c r="H10" s="35"/>
    </row>
    <row r="11">
      <c r="A11" s="23" t="s">
        <v>24</v>
      </c>
      <c r="D11" s="36"/>
      <c r="E11" s="37"/>
      <c r="F11" s="19"/>
      <c r="G11" s="163" t="s">
        <v>113</v>
      </c>
      <c r="H11" s="15"/>
    </row>
    <row r="12">
      <c r="A12" s="5" t="s">
        <v>26</v>
      </c>
      <c r="C12" s="22"/>
      <c r="D12" s="22"/>
      <c r="E12" s="7" t="s">
        <v>27</v>
      </c>
      <c r="H12" s="39"/>
    </row>
    <row r="13">
      <c r="A13" s="20"/>
      <c r="B13" s="19"/>
      <c r="C13" s="19"/>
      <c r="D13" s="19"/>
      <c r="E13" s="20"/>
      <c r="H13" s="21"/>
    </row>
    <row r="14">
      <c r="A14" s="40" t="s">
        <v>28</v>
      </c>
      <c r="B14" s="28" t="s">
        <v>29</v>
      </c>
      <c r="C14" s="101" t="s">
        <v>30</v>
      </c>
      <c r="D14" s="149" t="s">
        <v>31</v>
      </c>
      <c r="E14" s="28" t="s">
        <v>32</v>
      </c>
      <c r="F14" s="101" t="s">
        <v>33</v>
      </c>
      <c r="G14" s="28" t="s">
        <v>34</v>
      </c>
      <c r="H14" s="101" t="s">
        <v>35</v>
      </c>
    </row>
    <row r="15">
      <c r="A15" s="150">
        <v>1.0</v>
      </c>
      <c r="B15" s="137" t="s">
        <v>114</v>
      </c>
      <c r="C15" s="138">
        <v>3401.0</v>
      </c>
      <c r="D15" s="139">
        <v>0.18</v>
      </c>
      <c r="E15" s="138">
        <v>168.0</v>
      </c>
      <c r="F15" s="138">
        <v>3.0</v>
      </c>
      <c r="G15" s="140" t="s">
        <v>115</v>
      </c>
      <c r="H15" s="138">
        <v>504.0</v>
      </c>
    </row>
    <row r="16">
      <c r="A16" s="50">
        <v>2.0</v>
      </c>
      <c r="B16" s="141" t="s">
        <v>116</v>
      </c>
      <c r="C16" s="142">
        <v>4818.0</v>
      </c>
      <c r="D16" s="66">
        <v>0.18</v>
      </c>
      <c r="E16" s="142">
        <v>45.0</v>
      </c>
      <c r="F16" s="142">
        <v>60.0</v>
      </c>
      <c r="G16" s="143" t="s">
        <v>117</v>
      </c>
      <c r="H16" s="142">
        <v>2700.0</v>
      </c>
    </row>
    <row r="17">
      <c r="A17" s="50">
        <v>3.0</v>
      </c>
      <c r="B17" s="141" t="s">
        <v>118</v>
      </c>
      <c r="C17" s="142">
        <v>4818.0</v>
      </c>
      <c r="D17" s="66">
        <v>0.18</v>
      </c>
      <c r="E17" s="142">
        <v>850.0</v>
      </c>
      <c r="F17" s="142">
        <v>4.0</v>
      </c>
      <c r="G17" s="143" t="s">
        <v>119</v>
      </c>
      <c r="H17" s="142">
        <v>3400.0</v>
      </c>
    </row>
    <row r="18">
      <c r="A18" s="50">
        <v>4.0</v>
      </c>
      <c r="B18" s="141" t="s">
        <v>120</v>
      </c>
      <c r="C18" s="142">
        <v>4818.0</v>
      </c>
      <c r="D18" s="66">
        <v>0.18</v>
      </c>
      <c r="E18" s="142">
        <v>110.0</v>
      </c>
      <c r="F18" s="142">
        <v>10.0</v>
      </c>
      <c r="G18" s="143" t="s">
        <v>121</v>
      </c>
      <c r="H18" s="142">
        <v>1100.0</v>
      </c>
    </row>
    <row r="19">
      <c r="A19" s="50">
        <v>5.0</v>
      </c>
      <c r="B19" s="141" t="s">
        <v>122</v>
      </c>
      <c r="C19" s="142">
        <v>3307.0</v>
      </c>
      <c r="D19" s="66">
        <v>0.18</v>
      </c>
      <c r="E19" s="142">
        <v>120.0</v>
      </c>
      <c r="F19" s="142">
        <v>10.0</v>
      </c>
      <c r="G19" s="143" t="s">
        <v>123</v>
      </c>
      <c r="H19" s="142">
        <v>1200.0</v>
      </c>
    </row>
    <row r="20">
      <c r="A20" s="50">
        <v>6.0</v>
      </c>
      <c r="B20" s="141" t="s">
        <v>124</v>
      </c>
      <c r="C20" s="142">
        <v>3402.0</v>
      </c>
      <c r="D20" s="66">
        <v>0.18</v>
      </c>
      <c r="E20" s="142">
        <v>130.0</v>
      </c>
      <c r="F20" s="142">
        <v>1.0</v>
      </c>
      <c r="G20" s="143" t="s">
        <v>125</v>
      </c>
      <c r="H20" s="142">
        <v>130.0</v>
      </c>
    </row>
    <row r="21" ht="15.75" customHeight="1">
      <c r="A21" s="50">
        <v>7.0</v>
      </c>
      <c r="B21" s="141" t="s">
        <v>126</v>
      </c>
      <c r="C21" s="142">
        <v>3402.0</v>
      </c>
      <c r="D21" s="66">
        <v>0.18</v>
      </c>
      <c r="E21" s="142">
        <v>75.0</v>
      </c>
      <c r="F21" s="142">
        <v>4.0</v>
      </c>
      <c r="G21" s="143" t="s">
        <v>127</v>
      </c>
      <c r="H21" s="142">
        <v>300.0</v>
      </c>
    </row>
    <row r="22" ht="15.75" customHeight="1">
      <c r="A22" s="50">
        <v>8.0</v>
      </c>
      <c r="B22" s="141" t="s">
        <v>128</v>
      </c>
      <c r="C22" s="142">
        <v>4015.0</v>
      </c>
      <c r="D22" s="66">
        <v>0.18</v>
      </c>
      <c r="E22" s="142">
        <v>60.0</v>
      </c>
      <c r="F22" s="142">
        <v>1.0</v>
      </c>
      <c r="G22" s="143" t="s">
        <v>129</v>
      </c>
      <c r="H22" s="142">
        <v>60.0</v>
      </c>
    </row>
    <row r="23" ht="12.75" customHeight="1">
      <c r="A23" s="50">
        <v>9.0</v>
      </c>
      <c r="B23" s="141" t="s">
        <v>130</v>
      </c>
      <c r="C23" s="142">
        <v>3924.0</v>
      </c>
      <c r="D23" s="66">
        <v>0.18</v>
      </c>
      <c r="E23" s="142">
        <v>97.0</v>
      </c>
      <c r="F23" s="142">
        <v>28.0</v>
      </c>
      <c r="G23" s="143" t="s">
        <v>131</v>
      </c>
      <c r="H23" s="142">
        <v>2716.0</v>
      </c>
    </row>
    <row r="24" ht="12.75" customHeight="1">
      <c r="A24" s="50"/>
      <c r="B24" s="63"/>
      <c r="C24" s="156"/>
      <c r="D24" s="81"/>
      <c r="E24" s="156"/>
      <c r="F24" s="156"/>
      <c r="G24" s="156"/>
      <c r="H24" s="157"/>
    </row>
    <row r="25" ht="15.75" customHeight="1">
      <c r="A25" s="63"/>
      <c r="B25" s="95"/>
      <c r="C25" s="96"/>
      <c r="D25" s="97"/>
      <c r="E25" s="96"/>
      <c r="F25" s="98"/>
      <c r="G25" s="98"/>
      <c r="H25" s="99"/>
    </row>
    <row r="26" ht="15.75" customHeight="1">
      <c r="A26" s="28"/>
      <c r="B26" s="100" t="s">
        <v>52</v>
      </c>
      <c r="C26" s="101"/>
      <c r="D26" s="101"/>
      <c r="E26" s="28"/>
      <c r="F26" s="101"/>
      <c r="G26" s="28"/>
      <c r="H26" s="158">
        <f>SUM(H15:H23)</f>
        <v>12110</v>
      </c>
    </row>
    <row r="27" ht="15.75" customHeight="1">
      <c r="A27" s="11"/>
      <c r="B27" s="102"/>
      <c r="C27" s="63"/>
      <c r="D27" s="63"/>
      <c r="E27" s="11"/>
      <c r="F27" s="63"/>
      <c r="G27" s="11"/>
      <c r="H27" s="63"/>
    </row>
    <row r="28" ht="15.75" customHeight="1">
      <c r="A28" s="11"/>
      <c r="B28" s="102" t="s">
        <v>53</v>
      </c>
      <c r="C28" s="63"/>
      <c r="D28" s="63"/>
      <c r="E28" s="11"/>
      <c r="F28" s="63">
        <v>9.0</v>
      </c>
      <c r="G28" s="11" t="s">
        <v>54</v>
      </c>
      <c r="H28" s="104">
        <f>(H26)*9%</f>
        <v>1089.9</v>
      </c>
    </row>
    <row r="29" ht="15.75" customHeight="1">
      <c r="A29" s="11"/>
      <c r="B29" s="102" t="s">
        <v>55</v>
      </c>
      <c r="C29" s="63"/>
      <c r="D29" s="63"/>
      <c r="E29" s="11"/>
      <c r="F29" s="63">
        <v>9.0</v>
      </c>
      <c r="G29" s="11" t="s">
        <v>54</v>
      </c>
      <c r="H29" s="104">
        <f>(H26)*9%</f>
        <v>1089.9</v>
      </c>
    </row>
    <row r="30" ht="15.75" customHeight="1">
      <c r="A30" s="11"/>
      <c r="B30" s="102"/>
      <c r="C30" s="63"/>
      <c r="D30" s="63"/>
      <c r="E30" s="11"/>
      <c r="F30" s="63"/>
      <c r="G30" s="11"/>
      <c r="H30" s="104"/>
    </row>
    <row r="31" ht="15.75" customHeight="1">
      <c r="A31" s="11"/>
      <c r="B31" s="102"/>
      <c r="C31" s="63"/>
      <c r="D31" s="63"/>
      <c r="E31" s="11"/>
      <c r="F31" s="63"/>
      <c r="G31" s="11"/>
      <c r="H31" s="104"/>
    </row>
    <row r="32" ht="15.75" customHeight="1">
      <c r="A32" s="11"/>
      <c r="B32" s="102"/>
      <c r="C32" s="63"/>
      <c r="D32" s="63"/>
      <c r="E32" s="11"/>
      <c r="F32" s="63"/>
      <c r="G32" s="11"/>
      <c r="H32" s="63"/>
    </row>
    <row r="33" ht="15.75" customHeight="1">
      <c r="A33" s="11"/>
      <c r="B33" s="102"/>
      <c r="C33" s="63"/>
      <c r="D33" s="63"/>
      <c r="E33" s="11"/>
      <c r="F33" s="63"/>
      <c r="G33" s="11"/>
      <c r="H33" s="63"/>
    </row>
    <row r="34" ht="15.75" customHeight="1">
      <c r="A34" s="40"/>
      <c r="B34" s="105" t="s">
        <v>56</v>
      </c>
      <c r="C34" s="106"/>
      <c r="D34" s="107"/>
      <c r="E34" s="107"/>
      <c r="F34" s="107"/>
      <c r="G34" s="4"/>
      <c r="H34" s="160">
        <f>SUM(H28:H33)</f>
        <v>2179.8</v>
      </c>
    </row>
    <row r="35" ht="14.25" customHeight="1">
      <c r="A35" s="109" t="s">
        <v>57</v>
      </c>
      <c r="B35" s="4"/>
      <c r="C35" s="40"/>
      <c r="D35" s="110"/>
      <c r="E35" s="110"/>
      <c r="F35" s="110"/>
      <c r="G35" s="110"/>
      <c r="H35" s="111">
        <f>SUM(H26+H34)</f>
        <v>14289.8</v>
      </c>
    </row>
    <row r="36" ht="14.25" customHeight="1">
      <c r="A36" s="109" t="s">
        <v>58</v>
      </c>
      <c r="B36" s="4"/>
      <c r="C36" s="40"/>
      <c r="D36" s="110"/>
      <c r="E36" s="110"/>
      <c r="F36" s="110"/>
      <c r="G36" s="110"/>
      <c r="H36" s="111">
        <v>0.8</v>
      </c>
    </row>
    <row r="37" ht="14.25" customHeight="1">
      <c r="A37" s="109" t="s">
        <v>59</v>
      </c>
      <c r="B37" s="4"/>
      <c r="C37" s="40"/>
      <c r="D37" s="110"/>
      <c r="E37" s="110"/>
      <c r="F37" s="110"/>
      <c r="G37" s="110"/>
      <c r="H37" s="111">
        <f>H35-H36</f>
        <v>14289</v>
      </c>
    </row>
    <row r="38" ht="14.25" customHeight="1">
      <c r="A38" s="113" t="s">
        <v>60</v>
      </c>
      <c r="B38" s="4"/>
      <c r="C38" s="161" t="s">
        <v>132</v>
      </c>
      <c r="D38" s="107"/>
      <c r="E38" s="107"/>
      <c r="F38" s="107"/>
      <c r="G38" s="107"/>
      <c r="H38" s="4"/>
    </row>
    <row r="39" ht="15.0" customHeight="1">
      <c r="A39" s="115" t="s">
        <v>62</v>
      </c>
      <c r="B39" s="116"/>
      <c r="C39" s="116"/>
      <c r="D39" s="117"/>
      <c r="E39" s="118" t="s">
        <v>63</v>
      </c>
      <c r="F39" s="116"/>
      <c r="G39" s="116"/>
      <c r="H39" s="117"/>
    </row>
    <row r="40" ht="15.75" customHeight="1">
      <c r="A40" s="119"/>
      <c r="D40" s="33"/>
      <c r="E40" s="119"/>
      <c r="H40" s="33"/>
    </row>
    <row r="41" ht="20.25" customHeight="1">
      <c r="A41" s="120"/>
      <c r="B41" s="121"/>
      <c r="C41" s="121"/>
      <c r="D41" s="15"/>
      <c r="E41" s="119"/>
      <c r="H41" s="33"/>
    </row>
    <row r="42" ht="15.75" customHeight="1">
      <c r="A42" s="122" t="s">
        <v>64</v>
      </c>
      <c r="B42" s="116"/>
      <c r="C42" s="116"/>
      <c r="D42" s="117"/>
      <c r="E42" s="119"/>
      <c r="H42" s="33"/>
    </row>
    <row r="43" ht="8.25" customHeight="1">
      <c r="A43" s="120"/>
      <c r="B43" s="121"/>
      <c r="C43" s="121"/>
      <c r="D43" s="15"/>
      <c r="E43" s="120"/>
      <c r="F43" s="121"/>
      <c r="G43" s="121"/>
      <c r="H43" s="1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8">
    <mergeCell ref="E1:F1"/>
    <mergeCell ref="G1:H1"/>
    <mergeCell ref="G3:H3"/>
    <mergeCell ref="A6:B6"/>
    <mergeCell ref="A9:D9"/>
    <mergeCell ref="A10:D10"/>
    <mergeCell ref="G11:H11"/>
    <mergeCell ref="A38:B38"/>
    <mergeCell ref="A39:D41"/>
    <mergeCell ref="E39:H43"/>
    <mergeCell ref="A42:D43"/>
    <mergeCell ref="A11:C11"/>
    <mergeCell ref="A12:B12"/>
    <mergeCell ref="C34:G34"/>
    <mergeCell ref="A35:B35"/>
    <mergeCell ref="A36:B36"/>
    <mergeCell ref="A37:B37"/>
    <mergeCell ref="C38:H38"/>
  </mergeCells>
  <printOptions/>
  <pageMargins bottom="0.0" footer="0.0" header="0.0" left="0.7086614173228347" right="0.7086614173228347" top="0.6299212598425197"/>
  <pageSetup fitToHeight="0" paperSize="9" orientation="portrait"/>
  <headerFooter>
    <oddHeader>&amp;CTAX INVOICE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6.29"/>
    <col customWidth="1" min="3" max="3" width="9.14"/>
    <col customWidth="1" min="4" max="4" width="8.29"/>
    <col customWidth="1" min="5" max="5" width="9.57"/>
    <col customWidth="1" min="6" max="6" width="14.0"/>
    <col customWidth="1" min="7" max="7" width="6.29"/>
    <col customWidth="1" min="8" max="8" width="10.71"/>
    <col customWidth="1" min="9" max="26" width="8.71"/>
  </cols>
  <sheetData>
    <row r="1">
      <c r="A1" s="1" t="s">
        <v>0</v>
      </c>
      <c r="B1" s="2"/>
      <c r="C1" s="2"/>
      <c r="D1" s="2"/>
      <c r="E1" s="161" t="s">
        <v>133</v>
      </c>
      <c r="F1" s="4"/>
      <c r="G1" s="161" t="s">
        <v>110</v>
      </c>
      <c r="H1" s="4"/>
    </row>
    <row r="2">
      <c r="A2" s="5" t="s">
        <v>3</v>
      </c>
      <c r="B2" s="6"/>
      <c r="C2" s="6"/>
      <c r="D2" s="6"/>
      <c r="E2" s="7" t="s">
        <v>4</v>
      </c>
      <c r="F2" s="8"/>
      <c r="G2" s="122" t="s">
        <v>134</v>
      </c>
      <c r="H2" s="10"/>
    </row>
    <row r="3">
      <c r="A3" s="11" t="s">
        <v>6</v>
      </c>
      <c r="E3" s="12" t="s">
        <v>7</v>
      </c>
      <c r="F3" s="13"/>
      <c r="G3" s="162" t="s">
        <v>135</v>
      </c>
      <c r="H3" s="15"/>
    </row>
    <row r="4">
      <c r="A4" s="5" t="s">
        <v>9</v>
      </c>
      <c r="D4" s="6"/>
      <c r="E4" s="5" t="s">
        <v>10</v>
      </c>
      <c r="F4" s="6"/>
      <c r="G4" s="164"/>
      <c r="H4" s="35"/>
    </row>
    <row r="5">
      <c r="A5" s="11" t="s">
        <v>12</v>
      </c>
      <c r="D5" s="6"/>
      <c r="E5" s="18"/>
      <c r="F5" s="19"/>
      <c r="G5" s="20"/>
      <c r="H5" s="21"/>
    </row>
    <row r="6">
      <c r="A6" s="5" t="s">
        <v>13</v>
      </c>
      <c r="C6" s="6"/>
      <c r="D6" s="22"/>
      <c r="E6" s="5" t="s">
        <v>14</v>
      </c>
      <c r="F6" s="6"/>
      <c r="G6" s="23" t="s">
        <v>15</v>
      </c>
      <c r="H6" s="24"/>
    </row>
    <row r="7">
      <c r="A7" s="25" t="s">
        <v>16</v>
      </c>
      <c r="B7" s="22"/>
      <c r="C7" s="22"/>
      <c r="D7" s="26"/>
      <c r="E7" s="20"/>
      <c r="F7" s="19"/>
      <c r="G7" s="20"/>
      <c r="H7" s="27"/>
    </row>
    <row r="8">
      <c r="A8" s="28" t="s">
        <v>17</v>
      </c>
      <c r="B8" s="29"/>
      <c r="C8" s="29"/>
      <c r="D8" s="29"/>
      <c r="E8" s="5" t="s">
        <v>18</v>
      </c>
      <c r="F8" s="6"/>
      <c r="G8" s="16" t="s">
        <v>19</v>
      </c>
      <c r="H8" s="17"/>
    </row>
    <row r="9">
      <c r="A9" s="32" t="s">
        <v>20</v>
      </c>
      <c r="D9" s="33"/>
      <c r="E9" s="20"/>
      <c r="F9" s="19"/>
      <c r="G9" s="20"/>
      <c r="H9" s="21"/>
    </row>
    <row r="10">
      <c r="A10" s="23" t="s">
        <v>21</v>
      </c>
      <c r="D10" s="33"/>
      <c r="E10" s="5" t="s">
        <v>22</v>
      </c>
      <c r="F10" s="6"/>
      <c r="G10" s="34" t="s">
        <v>23</v>
      </c>
      <c r="H10" s="35"/>
    </row>
    <row r="11">
      <c r="A11" s="23" t="s">
        <v>24</v>
      </c>
      <c r="D11" s="36"/>
      <c r="E11" s="37"/>
      <c r="F11" s="19"/>
      <c r="G11" s="163" t="s">
        <v>136</v>
      </c>
      <c r="H11" s="15"/>
    </row>
    <row r="12">
      <c r="A12" s="5" t="s">
        <v>26</v>
      </c>
      <c r="C12" s="22"/>
      <c r="D12" s="22"/>
      <c r="E12" s="7" t="s">
        <v>27</v>
      </c>
      <c r="H12" s="39"/>
    </row>
    <row r="13">
      <c r="A13" s="20"/>
      <c r="B13" s="19"/>
      <c r="C13" s="19"/>
      <c r="D13" s="19"/>
      <c r="E13" s="20"/>
      <c r="H13" s="21"/>
    </row>
    <row r="14">
      <c r="A14" s="40" t="s">
        <v>28</v>
      </c>
      <c r="B14" s="40" t="s">
        <v>29</v>
      </c>
      <c r="C14" s="41" t="s">
        <v>30</v>
      </c>
      <c r="D14" s="42" t="s">
        <v>31</v>
      </c>
      <c r="E14" s="106" t="s">
        <v>32</v>
      </c>
      <c r="F14" s="165" t="s">
        <v>33</v>
      </c>
      <c r="G14" s="40" t="s">
        <v>34</v>
      </c>
      <c r="H14" s="41" t="s">
        <v>35</v>
      </c>
    </row>
    <row r="15">
      <c r="A15" s="28">
        <v>1.0</v>
      </c>
      <c r="B15" s="166" t="s">
        <v>39</v>
      </c>
      <c r="C15" s="167">
        <v>3808.0</v>
      </c>
      <c r="D15" s="168">
        <v>0.18</v>
      </c>
      <c r="E15" s="169">
        <v>998.0</v>
      </c>
      <c r="F15" s="156">
        <v>1.0</v>
      </c>
      <c r="G15" s="157" t="s">
        <v>40</v>
      </c>
      <c r="H15" s="170">
        <f t="shared" ref="H15:H20" si="1">F15*E15</f>
        <v>998</v>
      </c>
    </row>
    <row r="16">
      <c r="A16" s="171">
        <v>2.0</v>
      </c>
      <c r="B16" s="166" t="s">
        <v>137</v>
      </c>
      <c r="C16" s="167">
        <v>3402.0</v>
      </c>
      <c r="D16" s="168">
        <v>0.18</v>
      </c>
      <c r="E16" s="169">
        <v>750.0</v>
      </c>
      <c r="F16" s="156">
        <v>1.0</v>
      </c>
      <c r="G16" s="157" t="s">
        <v>40</v>
      </c>
      <c r="H16" s="172">
        <f t="shared" si="1"/>
        <v>750</v>
      </c>
    </row>
    <row r="17">
      <c r="A17" s="11">
        <v>3.0</v>
      </c>
      <c r="B17" s="166" t="s">
        <v>44</v>
      </c>
      <c r="C17" s="167">
        <v>9603.0</v>
      </c>
      <c r="D17" s="173">
        <v>0.0</v>
      </c>
      <c r="E17" s="169">
        <v>140.0</v>
      </c>
      <c r="F17" s="156">
        <v>5.0</v>
      </c>
      <c r="G17" s="157" t="s">
        <v>37</v>
      </c>
      <c r="H17" s="172">
        <f t="shared" si="1"/>
        <v>700</v>
      </c>
    </row>
    <row r="18">
      <c r="A18" s="171">
        <v>4.0</v>
      </c>
      <c r="B18" s="174" t="s">
        <v>138</v>
      </c>
      <c r="C18" s="175">
        <v>9603.0</v>
      </c>
      <c r="D18" s="61">
        <v>0.0</v>
      </c>
      <c r="E18" s="92">
        <v>110.0</v>
      </c>
      <c r="F18" s="156">
        <v>5.0</v>
      </c>
      <c r="G18" s="157" t="s">
        <v>37</v>
      </c>
      <c r="H18" s="172">
        <f t="shared" si="1"/>
        <v>550</v>
      </c>
    </row>
    <row r="19">
      <c r="A19" s="11">
        <v>5.0</v>
      </c>
      <c r="B19" s="166" t="s">
        <v>50</v>
      </c>
      <c r="C19" s="157">
        <v>9603.0</v>
      </c>
      <c r="D19" s="81">
        <v>0.18</v>
      </c>
      <c r="E19" s="176">
        <v>1125.0</v>
      </c>
      <c r="F19" s="156">
        <v>2.0</v>
      </c>
      <c r="G19" s="157" t="s">
        <v>37</v>
      </c>
      <c r="H19" s="172">
        <f t="shared" si="1"/>
        <v>2250</v>
      </c>
    </row>
    <row r="20">
      <c r="A20" s="171">
        <v>6.0</v>
      </c>
      <c r="B20" s="166" t="s">
        <v>139</v>
      </c>
      <c r="C20" s="177">
        <v>3926.0</v>
      </c>
      <c r="D20" s="178">
        <v>0.18</v>
      </c>
      <c r="E20" s="179">
        <v>120.0</v>
      </c>
      <c r="F20" s="156">
        <v>13.0</v>
      </c>
      <c r="G20" s="157" t="s">
        <v>37</v>
      </c>
      <c r="H20" s="172">
        <f t="shared" si="1"/>
        <v>1560</v>
      </c>
    </row>
    <row r="21" ht="15.75" customHeight="1">
      <c r="A21" s="11"/>
      <c r="B21" s="166"/>
      <c r="C21" s="180"/>
      <c r="D21" s="173"/>
      <c r="E21" s="169"/>
      <c r="F21" s="156"/>
      <c r="G21" s="157"/>
      <c r="H21" s="172"/>
    </row>
    <row r="22" ht="15.75" customHeight="1">
      <c r="A22" s="171"/>
      <c r="B22" s="166"/>
      <c r="C22" s="157"/>
      <c r="D22" s="81"/>
      <c r="E22" s="176"/>
      <c r="F22" s="156"/>
      <c r="G22" s="157"/>
      <c r="H22" s="172"/>
    </row>
    <row r="23" ht="15.75" customHeight="1">
      <c r="A23" s="87"/>
      <c r="B23" s="181"/>
      <c r="C23" s="156"/>
      <c r="D23" s="90"/>
      <c r="E23" s="182"/>
      <c r="F23" s="83"/>
      <c r="G23" s="183"/>
      <c r="H23" s="172"/>
    </row>
    <row r="24" ht="15.75" customHeight="1">
      <c r="A24" s="87"/>
      <c r="B24" s="63"/>
      <c r="C24" s="86"/>
      <c r="D24" s="81"/>
      <c r="E24" s="82"/>
      <c r="F24" s="83"/>
      <c r="G24" s="155"/>
      <c r="H24" s="170"/>
    </row>
    <row r="25" ht="15.75" customHeight="1">
      <c r="A25" s="87"/>
      <c r="B25" s="63"/>
      <c r="C25" s="180"/>
      <c r="D25" s="90"/>
      <c r="E25" s="11"/>
      <c r="F25" s="184"/>
      <c r="G25" s="63"/>
      <c r="H25" s="63"/>
    </row>
    <row r="26" ht="15.75" customHeight="1">
      <c r="A26" s="87"/>
      <c r="B26" s="63"/>
      <c r="C26" s="180"/>
      <c r="D26" s="90"/>
      <c r="E26" s="11"/>
      <c r="F26" s="184"/>
      <c r="G26" s="63"/>
      <c r="H26" s="63"/>
    </row>
    <row r="27" ht="15.75" customHeight="1">
      <c r="A27" s="87"/>
      <c r="B27" s="63"/>
      <c r="C27" s="180"/>
      <c r="D27" s="90"/>
      <c r="E27" s="11"/>
      <c r="F27" s="184"/>
      <c r="G27" s="63"/>
      <c r="H27" s="63"/>
    </row>
    <row r="28" ht="15.75" customHeight="1">
      <c r="A28" s="28"/>
      <c r="B28" s="100" t="s">
        <v>52</v>
      </c>
      <c r="C28" s="101"/>
      <c r="D28" s="101"/>
      <c r="E28" s="28"/>
      <c r="F28" s="101"/>
      <c r="G28" s="28"/>
      <c r="H28" s="101">
        <f>SUM(H15:H26)</f>
        <v>6808</v>
      </c>
    </row>
    <row r="29" ht="15.75" customHeight="1">
      <c r="A29" s="11"/>
      <c r="B29" s="102"/>
      <c r="C29" s="63"/>
      <c r="D29" s="63"/>
      <c r="E29" s="11"/>
      <c r="F29" s="63"/>
      <c r="G29" s="11"/>
      <c r="H29" s="63"/>
    </row>
    <row r="30" ht="15.75" customHeight="1">
      <c r="A30" s="11"/>
      <c r="B30" s="102" t="s">
        <v>53</v>
      </c>
      <c r="C30" s="63"/>
      <c r="D30" s="63"/>
      <c r="E30" s="11"/>
      <c r="F30" s="63">
        <v>9.0</v>
      </c>
      <c r="G30" s="11" t="s">
        <v>54</v>
      </c>
      <c r="H30" s="63">
        <f>(H28-H17-H18)*9%</f>
        <v>500.22</v>
      </c>
    </row>
    <row r="31" ht="15.75" customHeight="1">
      <c r="A31" s="11"/>
      <c r="B31" s="102" t="s">
        <v>55</v>
      </c>
      <c r="C31" s="63"/>
      <c r="D31" s="63"/>
      <c r="E31" s="11"/>
      <c r="F31" s="63">
        <v>9.0</v>
      </c>
      <c r="G31" s="11" t="s">
        <v>54</v>
      </c>
      <c r="H31" s="63">
        <f>(H28-H17-H18)*9%</f>
        <v>500.22</v>
      </c>
    </row>
    <row r="32" ht="15.75" customHeight="1">
      <c r="A32" s="11"/>
      <c r="B32" s="102" t="s">
        <v>140</v>
      </c>
      <c r="C32" s="63"/>
      <c r="D32" s="63"/>
      <c r="E32" s="11"/>
      <c r="F32" s="63">
        <v>0.0</v>
      </c>
      <c r="G32" s="11" t="s">
        <v>54</v>
      </c>
      <c r="H32" s="63">
        <v>0.0</v>
      </c>
    </row>
    <row r="33" ht="15.75" customHeight="1">
      <c r="A33" s="11"/>
      <c r="B33" s="102" t="s">
        <v>141</v>
      </c>
      <c r="C33" s="63"/>
      <c r="D33" s="63"/>
      <c r="E33" s="11"/>
      <c r="F33" s="63">
        <v>0.0</v>
      </c>
      <c r="G33" s="11" t="s">
        <v>54</v>
      </c>
      <c r="H33" s="63">
        <v>0.0</v>
      </c>
    </row>
    <row r="34" ht="15.75" customHeight="1">
      <c r="A34" s="11"/>
      <c r="B34" s="102"/>
      <c r="C34" s="63"/>
      <c r="D34" s="63"/>
      <c r="E34" s="11"/>
      <c r="F34" s="63"/>
      <c r="G34" s="11"/>
      <c r="H34" s="63"/>
    </row>
    <row r="35" ht="15.75" customHeight="1">
      <c r="A35" s="11"/>
      <c r="B35" s="102"/>
      <c r="C35" s="63"/>
      <c r="D35" s="63"/>
      <c r="E35" s="11"/>
      <c r="F35" s="63"/>
      <c r="G35" s="11"/>
      <c r="H35" s="63"/>
    </row>
    <row r="36" ht="15.75" customHeight="1">
      <c r="A36" s="40" t="s">
        <v>142</v>
      </c>
      <c r="B36" s="105" t="s">
        <v>56</v>
      </c>
      <c r="C36" s="106"/>
      <c r="D36" s="107"/>
      <c r="E36" s="107"/>
      <c r="F36" s="107"/>
      <c r="G36" s="4"/>
      <c r="H36" s="41">
        <f>SUM(H30:H35)</f>
        <v>1000.44</v>
      </c>
    </row>
    <row r="37" ht="14.25" customHeight="1">
      <c r="A37" s="109" t="s">
        <v>57</v>
      </c>
      <c r="B37" s="4"/>
      <c r="C37" s="40"/>
      <c r="D37" s="110"/>
      <c r="E37" s="110"/>
      <c r="F37" s="110"/>
      <c r="G37" s="110"/>
      <c r="H37" s="111">
        <f>SUM(H28+H36)</f>
        <v>7808.44</v>
      </c>
    </row>
    <row r="38" ht="14.25" customHeight="1">
      <c r="A38" s="109" t="s">
        <v>58</v>
      </c>
      <c r="B38" s="4"/>
      <c r="C38" s="40"/>
      <c r="D38" s="110"/>
      <c r="E38" s="110"/>
      <c r="F38" s="110"/>
      <c r="G38" s="110"/>
      <c r="H38" s="111">
        <v>0.44</v>
      </c>
    </row>
    <row r="39" ht="14.25" customHeight="1">
      <c r="A39" s="109" t="s">
        <v>59</v>
      </c>
      <c r="B39" s="4"/>
      <c r="C39" s="40"/>
      <c r="D39" s="110"/>
      <c r="E39" s="110"/>
      <c r="F39" s="110"/>
      <c r="G39" s="110"/>
      <c r="H39" s="111">
        <f>H37-H38</f>
        <v>7808</v>
      </c>
    </row>
    <row r="40" ht="14.25" customHeight="1">
      <c r="A40" s="113" t="s">
        <v>60</v>
      </c>
      <c r="B40" s="4"/>
      <c r="C40" s="161" t="s">
        <v>143</v>
      </c>
      <c r="D40" s="107"/>
      <c r="E40" s="107"/>
      <c r="F40" s="107"/>
      <c r="G40" s="107"/>
      <c r="H40" s="4"/>
    </row>
    <row r="41" ht="15.0" customHeight="1">
      <c r="A41" s="115" t="s">
        <v>62</v>
      </c>
      <c r="B41" s="116"/>
      <c r="C41" s="116"/>
      <c r="D41" s="117"/>
      <c r="E41" s="185" t="s">
        <v>63</v>
      </c>
      <c r="F41" s="116"/>
      <c r="G41" s="116"/>
      <c r="H41" s="117"/>
    </row>
    <row r="42" ht="15.75" customHeight="1">
      <c r="A42" s="119"/>
      <c r="D42" s="33"/>
      <c r="H42" s="33"/>
    </row>
    <row r="43" ht="20.25" customHeight="1">
      <c r="A43" s="120"/>
      <c r="B43" s="121"/>
      <c r="C43" s="121"/>
      <c r="D43" s="15"/>
      <c r="H43" s="33"/>
    </row>
    <row r="44" ht="15.75" customHeight="1">
      <c r="A44" s="122" t="s">
        <v>64</v>
      </c>
      <c r="B44" s="116"/>
      <c r="C44" s="116"/>
      <c r="D44" s="117"/>
      <c r="H44" s="33"/>
    </row>
    <row r="45" ht="8.25" customHeight="1">
      <c r="A45" s="120"/>
      <c r="B45" s="121"/>
      <c r="C45" s="121"/>
      <c r="D45" s="15"/>
      <c r="E45" s="121"/>
      <c r="F45" s="121"/>
      <c r="G45" s="121"/>
      <c r="H45" s="1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1:F1"/>
    <mergeCell ref="G1:H1"/>
    <mergeCell ref="G3:H3"/>
    <mergeCell ref="A6:B6"/>
    <mergeCell ref="A9:D9"/>
    <mergeCell ref="A10:D10"/>
    <mergeCell ref="G11:H11"/>
    <mergeCell ref="A40:B40"/>
    <mergeCell ref="A41:D43"/>
    <mergeCell ref="E41:H45"/>
    <mergeCell ref="A44:D45"/>
    <mergeCell ref="A11:C11"/>
    <mergeCell ref="A12:B12"/>
    <mergeCell ref="C36:G36"/>
    <mergeCell ref="A37:B37"/>
    <mergeCell ref="A38:B38"/>
    <mergeCell ref="A39:B39"/>
    <mergeCell ref="C40:H40"/>
  </mergeCells>
  <printOptions/>
  <pageMargins bottom="0.75" footer="0.0" header="0.0" left="0.7" right="0.7" top="0.75"/>
  <pageSetup fitToHeight="0" paperSize="9" orientation="portrait"/>
  <headerFooter>
    <oddHeader>&amp;CTAX INVOICE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6.29"/>
    <col customWidth="1" min="3" max="3" width="8.57"/>
    <col customWidth="1" min="4" max="4" width="8.29"/>
    <col customWidth="1" min="5" max="5" width="9.57"/>
    <col customWidth="1" min="6" max="6" width="13.29"/>
    <col customWidth="1" min="7" max="7" width="6.29"/>
    <col customWidth="1" min="8" max="8" width="9.86"/>
    <col customWidth="1" min="9" max="26" width="8.71"/>
  </cols>
  <sheetData>
    <row r="1">
      <c r="A1" s="1" t="s">
        <v>0</v>
      </c>
      <c r="B1" s="2"/>
      <c r="C1" s="2"/>
      <c r="D1" s="2"/>
      <c r="E1" s="161" t="s">
        <v>144</v>
      </c>
      <c r="F1" s="4"/>
      <c r="G1" s="161" t="s">
        <v>110</v>
      </c>
      <c r="H1" s="4"/>
    </row>
    <row r="2">
      <c r="A2" s="5" t="s">
        <v>3</v>
      </c>
      <c r="B2" s="6"/>
      <c r="C2" s="6"/>
      <c r="D2" s="6"/>
      <c r="E2" s="7" t="s">
        <v>4</v>
      </c>
      <c r="F2" s="8"/>
      <c r="G2" s="122" t="s">
        <v>145</v>
      </c>
      <c r="H2" s="10"/>
    </row>
    <row r="3">
      <c r="A3" s="11" t="s">
        <v>6</v>
      </c>
      <c r="E3" s="12" t="s">
        <v>7</v>
      </c>
      <c r="F3" s="13"/>
      <c r="G3" s="162" t="s">
        <v>135</v>
      </c>
      <c r="H3" s="15"/>
    </row>
    <row r="4">
      <c r="A4" s="5" t="s">
        <v>9</v>
      </c>
      <c r="D4" s="6"/>
      <c r="E4" s="5" t="s">
        <v>10</v>
      </c>
      <c r="F4" s="6"/>
      <c r="G4" s="16" t="s">
        <v>11</v>
      </c>
      <c r="H4" s="17"/>
    </row>
    <row r="5">
      <c r="A5" s="11" t="s">
        <v>12</v>
      </c>
      <c r="D5" s="6"/>
      <c r="E5" s="18"/>
      <c r="F5" s="19"/>
      <c r="G5" s="20"/>
      <c r="H5" s="21"/>
    </row>
    <row r="6">
      <c r="A6" s="5" t="s">
        <v>13</v>
      </c>
      <c r="C6" s="6"/>
      <c r="D6" s="22"/>
      <c r="E6" s="5" t="s">
        <v>14</v>
      </c>
      <c r="F6" s="6"/>
      <c r="G6" s="23" t="s">
        <v>15</v>
      </c>
      <c r="H6" s="24"/>
    </row>
    <row r="7">
      <c r="A7" s="25" t="s">
        <v>16</v>
      </c>
      <c r="B7" s="22"/>
      <c r="C7" s="22"/>
      <c r="D7" s="26"/>
      <c r="E7" s="20"/>
      <c r="F7" s="19"/>
      <c r="G7" s="20"/>
      <c r="H7" s="27"/>
    </row>
    <row r="8">
      <c r="A8" s="28" t="s">
        <v>17</v>
      </c>
      <c r="B8" s="29"/>
      <c r="C8" s="29"/>
      <c r="D8" s="29"/>
      <c r="E8" s="5" t="s">
        <v>18</v>
      </c>
      <c r="F8" s="6"/>
      <c r="G8" s="30" t="s">
        <v>19</v>
      </c>
      <c r="H8" s="31"/>
    </row>
    <row r="9">
      <c r="A9" s="32" t="s">
        <v>20</v>
      </c>
      <c r="D9" s="33"/>
      <c r="E9" s="20"/>
      <c r="F9" s="19"/>
      <c r="G9" s="20"/>
      <c r="H9" s="21"/>
    </row>
    <row r="10">
      <c r="A10" s="23" t="s">
        <v>21</v>
      </c>
      <c r="D10" s="33"/>
      <c r="E10" s="5" t="s">
        <v>22</v>
      </c>
      <c r="F10" s="6"/>
      <c r="G10" s="34" t="s">
        <v>23</v>
      </c>
      <c r="H10" s="35"/>
    </row>
    <row r="11">
      <c r="A11" s="23" t="s">
        <v>24</v>
      </c>
      <c r="D11" s="36"/>
      <c r="E11" s="37"/>
      <c r="F11" s="19"/>
      <c r="G11" s="163" t="s">
        <v>113</v>
      </c>
      <c r="H11" s="15"/>
    </row>
    <row r="12">
      <c r="A12" s="5" t="s">
        <v>26</v>
      </c>
      <c r="C12" s="22"/>
      <c r="D12" s="22"/>
      <c r="E12" s="7" t="s">
        <v>27</v>
      </c>
      <c r="H12" s="39"/>
    </row>
    <row r="13">
      <c r="A13" s="20"/>
      <c r="B13" s="19"/>
      <c r="C13" s="19"/>
      <c r="D13" s="19"/>
      <c r="E13" s="20"/>
      <c r="H13" s="21"/>
    </row>
    <row r="14">
      <c r="A14" s="40" t="s">
        <v>28</v>
      </c>
      <c r="B14" s="40" t="s">
        <v>29</v>
      </c>
      <c r="C14" s="41" t="s">
        <v>30</v>
      </c>
      <c r="D14" s="42" t="s">
        <v>31</v>
      </c>
      <c r="E14" s="40" t="s">
        <v>32</v>
      </c>
      <c r="F14" s="41" t="s">
        <v>33</v>
      </c>
      <c r="G14" s="40" t="s">
        <v>34</v>
      </c>
      <c r="H14" s="41" t="s">
        <v>35</v>
      </c>
    </row>
    <row r="15">
      <c r="A15" s="43">
        <v>1.0</v>
      </c>
      <c r="B15" s="186" t="s">
        <v>42</v>
      </c>
      <c r="C15" s="177">
        <v>3926.0</v>
      </c>
      <c r="D15" s="178">
        <v>0.18</v>
      </c>
      <c r="E15" s="179">
        <v>120.0</v>
      </c>
      <c r="F15" s="156">
        <v>5.0</v>
      </c>
      <c r="G15" s="157" t="s">
        <v>43</v>
      </c>
      <c r="H15" s="187">
        <f t="shared" ref="H15:H22" si="1">F15*E15</f>
        <v>600</v>
      </c>
    </row>
    <row r="16">
      <c r="A16" s="50">
        <v>2.0</v>
      </c>
      <c r="B16" s="88" t="s">
        <v>146</v>
      </c>
      <c r="C16" s="177">
        <v>3926.0</v>
      </c>
      <c r="D16" s="178">
        <v>0.18</v>
      </c>
      <c r="E16" s="179">
        <v>110.0</v>
      </c>
      <c r="F16" s="156">
        <v>5.0</v>
      </c>
      <c r="G16" s="157" t="s">
        <v>43</v>
      </c>
      <c r="H16" s="157">
        <f t="shared" si="1"/>
        <v>550</v>
      </c>
    </row>
    <row r="17">
      <c r="A17" s="50">
        <v>3.0</v>
      </c>
      <c r="B17" s="63" t="s">
        <v>67</v>
      </c>
      <c r="C17" s="177">
        <v>3402.0</v>
      </c>
      <c r="D17" s="178">
        <v>0.18</v>
      </c>
      <c r="E17" s="179">
        <v>149.0</v>
      </c>
      <c r="F17" s="156">
        <v>3.0</v>
      </c>
      <c r="G17" s="157" t="s">
        <v>68</v>
      </c>
      <c r="H17" s="157">
        <f t="shared" si="1"/>
        <v>447</v>
      </c>
    </row>
    <row r="18">
      <c r="A18" s="50">
        <v>4.0</v>
      </c>
      <c r="B18" s="188" t="s">
        <v>147</v>
      </c>
      <c r="C18" s="177">
        <v>6307.0</v>
      </c>
      <c r="D18" s="178">
        <v>0.18</v>
      </c>
      <c r="E18" s="179">
        <v>75.0</v>
      </c>
      <c r="F18" s="156">
        <v>3.0</v>
      </c>
      <c r="G18" s="157" t="s">
        <v>37</v>
      </c>
      <c r="H18" s="157">
        <f t="shared" si="1"/>
        <v>225</v>
      </c>
    </row>
    <row r="19">
      <c r="A19" s="50">
        <v>5.0</v>
      </c>
      <c r="B19" s="186" t="s">
        <v>38</v>
      </c>
      <c r="C19" s="86">
        <v>9603.0</v>
      </c>
      <c r="D19" s="81">
        <v>0.18</v>
      </c>
      <c r="E19" s="86">
        <v>1750.0</v>
      </c>
      <c r="F19" s="156">
        <v>2.0</v>
      </c>
      <c r="G19" s="157" t="s">
        <v>37</v>
      </c>
      <c r="H19" s="157">
        <f t="shared" si="1"/>
        <v>3500</v>
      </c>
    </row>
    <row r="20">
      <c r="A20" s="50">
        <v>6.0</v>
      </c>
      <c r="B20" s="186" t="s">
        <v>69</v>
      </c>
      <c r="C20" s="189">
        <v>4818.0</v>
      </c>
      <c r="D20" s="190">
        <v>0.18</v>
      </c>
      <c r="E20" s="182">
        <v>850.0</v>
      </c>
      <c r="F20" s="156">
        <v>3.0</v>
      </c>
      <c r="G20" s="157" t="s">
        <v>70</v>
      </c>
      <c r="H20" s="157">
        <f t="shared" si="1"/>
        <v>2550</v>
      </c>
    </row>
    <row r="21" ht="15.75" customHeight="1">
      <c r="A21" s="50">
        <v>7.0</v>
      </c>
      <c r="B21" s="191" t="s">
        <v>71</v>
      </c>
      <c r="C21" s="192">
        <v>3402.0</v>
      </c>
      <c r="D21" s="190">
        <v>0.18</v>
      </c>
      <c r="E21" s="193">
        <v>135.0</v>
      </c>
      <c r="F21" s="156">
        <v>1.0</v>
      </c>
      <c r="G21" s="157" t="s">
        <v>37</v>
      </c>
      <c r="H21" s="157">
        <f t="shared" si="1"/>
        <v>135</v>
      </c>
    </row>
    <row r="22" ht="15.75" customHeight="1">
      <c r="A22" s="50">
        <v>8.0</v>
      </c>
      <c r="B22" s="63" t="s">
        <v>148</v>
      </c>
      <c r="C22" s="86">
        <v>9603.0</v>
      </c>
      <c r="D22" s="190">
        <v>0.18</v>
      </c>
      <c r="E22" s="86">
        <v>37.0</v>
      </c>
      <c r="F22" s="156">
        <v>2.0</v>
      </c>
      <c r="G22" s="157" t="s">
        <v>37</v>
      </c>
      <c r="H22" s="157">
        <f t="shared" si="1"/>
        <v>74</v>
      </c>
    </row>
    <row r="23" ht="12.75" customHeight="1">
      <c r="A23" s="50"/>
      <c r="B23" s="63"/>
      <c r="C23" s="86"/>
      <c r="D23" s="81"/>
      <c r="E23" s="86"/>
      <c r="F23" s="156"/>
      <c r="G23" s="157"/>
      <c r="H23" s="157"/>
    </row>
    <row r="24" ht="12.75" customHeight="1">
      <c r="A24" s="50"/>
      <c r="B24" s="63"/>
      <c r="C24" s="86"/>
      <c r="D24" s="81"/>
      <c r="E24" s="86"/>
      <c r="F24" s="156"/>
      <c r="G24" s="157"/>
      <c r="H24" s="157"/>
    </row>
    <row r="25" ht="15.75" customHeight="1">
      <c r="A25" s="50"/>
      <c r="B25" s="63"/>
      <c r="C25" s="157"/>
      <c r="D25" s="190"/>
      <c r="E25" s="182"/>
      <c r="F25" s="156"/>
      <c r="G25" s="157"/>
      <c r="H25" s="157"/>
    </row>
    <row r="26" ht="15.75" customHeight="1">
      <c r="A26" s="102"/>
      <c r="B26" s="63"/>
      <c r="C26" s="80"/>
      <c r="D26" s="81"/>
      <c r="E26" s="82"/>
      <c r="F26" s="83"/>
      <c r="G26" s="84"/>
      <c r="H26" s="58"/>
    </row>
    <row r="27" ht="15.75" customHeight="1">
      <c r="A27" s="79"/>
      <c r="B27" s="63"/>
      <c r="C27" s="80"/>
      <c r="D27" s="81"/>
      <c r="E27" s="82"/>
      <c r="F27" s="83"/>
      <c r="G27" s="84"/>
      <c r="H27" s="58"/>
    </row>
    <row r="28" ht="15.75" customHeight="1">
      <c r="A28" s="79"/>
      <c r="B28" s="85"/>
      <c r="C28" s="86"/>
      <c r="D28" s="81"/>
      <c r="E28" s="82"/>
      <c r="F28" s="83"/>
      <c r="G28" s="84"/>
      <c r="H28" s="58"/>
    </row>
    <row r="29" ht="15.75" customHeight="1">
      <c r="A29" s="87"/>
      <c r="B29" s="88"/>
      <c r="C29" s="89"/>
      <c r="D29" s="90"/>
      <c r="E29" s="91"/>
      <c r="F29" s="84"/>
      <c r="G29" s="92"/>
      <c r="H29" s="63"/>
    </row>
    <row r="30" ht="15.75" customHeight="1">
      <c r="A30" s="87"/>
      <c r="B30" s="93"/>
      <c r="C30" s="57"/>
      <c r="D30" s="90"/>
      <c r="E30" s="94"/>
      <c r="F30" s="84"/>
      <c r="G30" s="84"/>
      <c r="H30" s="63"/>
    </row>
    <row r="31" ht="15.75" customHeight="1">
      <c r="A31" s="63"/>
      <c r="B31" s="95"/>
      <c r="C31" s="96"/>
      <c r="D31" s="97"/>
      <c r="E31" s="96"/>
      <c r="F31" s="98"/>
      <c r="G31" s="98"/>
      <c r="H31" s="99"/>
    </row>
    <row r="32" ht="15.75" customHeight="1">
      <c r="A32" s="28"/>
      <c r="B32" s="100" t="s">
        <v>52</v>
      </c>
      <c r="C32" s="101"/>
      <c r="D32" s="101"/>
      <c r="E32" s="28"/>
      <c r="F32" s="101"/>
      <c r="G32" s="28"/>
      <c r="H32" s="101">
        <f>SUM(H15:H31)</f>
        <v>8081</v>
      </c>
    </row>
    <row r="33" ht="15.75" customHeight="1">
      <c r="A33" s="11"/>
      <c r="B33" s="102"/>
      <c r="C33" s="63"/>
      <c r="D33" s="63"/>
      <c r="E33" s="11"/>
      <c r="F33" s="63"/>
      <c r="G33" s="11"/>
      <c r="H33" s="63"/>
    </row>
    <row r="34" ht="15.75" customHeight="1">
      <c r="A34" s="11"/>
      <c r="B34" s="102" t="s">
        <v>53</v>
      </c>
      <c r="C34" s="63"/>
      <c r="D34" s="63"/>
      <c r="E34" s="11"/>
      <c r="F34" s="63">
        <v>9.0</v>
      </c>
      <c r="G34" s="11" t="s">
        <v>54</v>
      </c>
      <c r="H34" s="104">
        <f>(H32-H25)*9%</f>
        <v>727.29</v>
      </c>
    </row>
    <row r="35" ht="15.75" customHeight="1">
      <c r="A35" s="11"/>
      <c r="B35" s="102" t="s">
        <v>55</v>
      </c>
      <c r="C35" s="63"/>
      <c r="D35" s="63"/>
      <c r="E35" s="11"/>
      <c r="F35" s="63">
        <v>9.0</v>
      </c>
      <c r="G35" s="11" t="s">
        <v>54</v>
      </c>
      <c r="H35" s="104">
        <f>(H32-H25)*9%</f>
        <v>727.29</v>
      </c>
    </row>
    <row r="36" ht="15.75" customHeight="1">
      <c r="A36" s="11"/>
      <c r="B36" s="102"/>
      <c r="C36" s="63"/>
      <c r="D36" s="63"/>
      <c r="E36" s="11"/>
      <c r="F36" s="63"/>
      <c r="G36" s="11"/>
      <c r="H36" s="104"/>
    </row>
    <row r="37" ht="15.75" customHeight="1">
      <c r="A37" s="11"/>
      <c r="B37" s="102"/>
      <c r="C37" s="63"/>
      <c r="D37" s="63"/>
      <c r="E37" s="11"/>
      <c r="F37" s="63"/>
      <c r="G37" s="11"/>
      <c r="H37" s="104"/>
    </row>
    <row r="38" ht="15.75" customHeight="1">
      <c r="A38" s="11"/>
      <c r="B38" s="102"/>
      <c r="C38" s="63"/>
      <c r="D38" s="63"/>
      <c r="E38" s="11"/>
      <c r="F38" s="63"/>
      <c r="G38" s="11"/>
      <c r="H38" s="63"/>
    </row>
    <row r="39" ht="15.75" customHeight="1">
      <c r="A39" s="11"/>
      <c r="B39" s="102"/>
      <c r="C39" s="63"/>
      <c r="D39" s="63"/>
      <c r="E39" s="11"/>
      <c r="F39" s="63"/>
      <c r="G39" s="11"/>
      <c r="H39" s="63"/>
    </row>
    <row r="40" ht="15.75" customHeight="1">
      <c r="A40" s="40"/>
      <c r="B40" s="105" t="s">
        <v>56</v>
      </c>
      <c r="C40" s="106"/>
      <c r="D40" s="107"/>
      <c r="E40" s="107"/>
      <c r="F40" s="107"/>
      <c r="G40" s="4"/>
      <c r="H40" s="160">
        <f>SUM(H34:H39)</f>
        <v>1454.58</v>
      </c>
    </row>
    <row r="41" ht="14.25" customHeight="1">
      <c r="A41" s="109" t="s">
        <v>57</v>
      </c>
      <c r="B41" s="4"/>
      <c r="C41" s="40"/>
      <c r="D41" s="110"/>
      <c r="E41" s="110"/>
      <c r="F41" s="110"/>
      <c r="G41" s="110"/>
      <c r="H41" s="111">
        <f>SUM(H32+H40)</f>
        <v>9535.58</v>
      </c>
    </row>
    <row r="42" ht="14.25" customHeight="1">
      <c r="A42" s="109" t="s">
        <v>58</v>
      </c>
      <c r="B42" s="4"/>
      <c r="C42" s="40"/>
      <c r="D42" s="110"/>
      <c r="E42" s="110"/>
      <c r="F42" s="110"/>
      <c r="G42" s="110"/>
      <c r="H42" s="111">
        <v>0.58</v>
      </c>
    </row>
    <row r="43" ht="14.25" customHeight="1">
      <c r="A43" s="109" t="s">
        <v>59</v>
      </c>
      <c r="B43" s="4"/>
      <c r="C43" s="40"/>
      <c r="D43" s="110"/>
      <c r="E43" s="110"/>
      <c r="F43" s="110"/>
      <c r="G43" s="110"/>
      <c r="H43" s="111">
        <f>H41-H42</f>
        <v>9535</v>
      </c>
    </row>
    <row r="44" ht="14.25" customHeight="1">
      <c r="A44" s="113" t="s">
        <v>60</v>
      </c>
      <c r="B44" s="4"/>
      <c r="C44" s="161" t="s">
        <v>149</v>
      </c>
      <c r="D44" s="107"/>
      <c r="E44" s="107"/>
      <c r="F44" s="107"/>
      <c r="G44" s="107"/>
      <c r="H44" s="4"/>
    </row>
    <row r="45" ht="15.0" customHeight="1">
      <c r="A45" s="115" t="s">
        <v>62</v>
      </c>
      <c r="B45" s="116"/>
      <c r="C45" s="116"/>
      <c r="D45" s="117"/>
      <c r="E45" s="118" t="s">
        <v>63</v>
      </c>
      <c r="F45" s="116"/>
      <c r="G45" s="116"/>
      <c r="H45" s="117"/>
    </row>
    <row r="46" ht="15.75" customHeight="1">
      <c r="A46" s="119"/>
      <c r="D46" s="33"/>
      <c r="E46" s="119"/>
      <c r="H46" s="33"/>
    </row>
    <row r="47" ht="20.25" customHeight="1">
      <c r="A47" s="120"/>
      <c r="B47" s="121"/>
      <c r="C47" s="121"/>
      <c r="D47" s="15"/>
      <c r="E47" s="119"/>
      <c r="H47" s="33"/>
    </row>
    <row r="48" ht="15.75" customHeight="1">
      <c r="A48" s="122" t="s">
        <v>64</v>
      </c>
      <c r="B48" s="116"/>
      <c r="C48" s="116"/>
      <c r="D48" s="117"/>
      <c r="E48" s="119"/>
      <c r="H48" s="33"/>
    </row>
    <row r="49" ht="8.25" customHeight="1">
      <c r="A49" s="120"/>
      <c r="B49" s="121"/>
      <c r="C49" s="121"/>
      <c r="D49" s="15"/>
      <c r="E49" s="120"/>
      <c r="F49" s="121"/>
      <c r="G49" s="121"/>
      <c r="H49" s="1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1:F1"/>
    <mergeCell ref="G1:H1"/>
    <mergeCell ref="G3:H3"/>
    <mergeCell ref="A6:B6"/>
    <mergeCell ref="A9:D9"/>
    <mergeCell ref="A10:D10"/>
    <mergeCell ref="G11:H11"/>
    <mergeCell ref="A44:B44"/>
    <mergeCell ref="A45:D47"/>
    <mergeCell ref="E45:H49"/>
    <mergeCell ref="A48:D49"/>
    <mergeCell ref="A11:C11"/>
    <mergeCell ref="A12:B12"/>
    <mergeCell ref="C40:G40"/>
    <mergeCell ref="A41:B41"/>
    <mergeCell ref="A42:B42"/>
    <mergeCell ref="A43:B43"/>
    <mergeCell ref="C44:H44"/>
  </mergeCells>
  <printOptions/>
  <pageMargins bottom="0.0" footer="0.0" header="0.0" left="0.7086614173228347" right="0.7086614173228347" top="0.6299212598425197"/>
  <pageSetup fitToHeight="0" paperSize="9" orientation="portrait"/>
  <headerFooter>
    <oddHeader>&amp;CTAX INVOICE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6.29"/>
    <col customWidth="1" min="3" max="3" width="8.57"/>
    <col customWidth="1" min="4" max="4" width="8.29"/>
    <col customWidth="1" min="5" max="5" width="9.57"/>
    <col customWidth="1" min="6" max="6" width="14.29"/>
    <col customWidth="1" min="7" max="7" width="6.29"/>
    <col customWidth="1" min="8" max="8" width="12.43"/>
    <col customWidth="1" min="9" max="26" width="8.71"/>
  </cols>
  <sheetData>
    <row r="1">
      <c r="A1" s="1" t="s">
        <v>0</v>
      </c>
      <c r="B1" s="2"/>
      <c r="C1" s="2"/>
      <c r="D1" s="2"/>
      <c r="E1" s="161" t="s">
        <v>144</v>
      </c>
      <c r="F1" s="4"/>
      <c r="G1" s="161" t="s">
        <v>110</v>
      </c>
      <c r="H1" s="4"/>
    </row>
    <row r="2">
      <c r="A2" s="5" t="s">
        <v>3</v>
      </c>
      <c r="B2" s="6"/>
      <c r="C2" s="6"/>
      <c r="D2" s="6"/>
      <c r="E2" s="7" t="s">
        <v>4</v>
      </c>
      <c r="F2" s="8"/>
      <c r="G2" s="122" t="s">
        <v>145</v>
      </c>
      <c r="H2" s="10"/>
    </row>
    <row r="3">
      <c r="A3" s="11" t="s">
        <v>6</v>
      </c>
      <c r="E3" s="12" t="s">
        <v>7</v>
      </c>
      <c r="F3" s="13"/>
      <c r="G3" s="162" t="s">
        <v>135</v>
      </c>
      <c r="H3" s="15"/>
    </row>
    <row r="4">
      <c r="A4" s="5" t="s">
        <v>9</v>
      </c>
      <c r="D4" s="6"/>
      <c r="E4" s="5" t="s">
        <v>10</v>
      </c>
      <c r="F4" s="6"/>
      <c r="G4" s="16" t="s">
        <v>11</v>
      </c>
      <c r="H4" s="17"/>
    </row>
    <row r="5">
      <c r="A5" s="11" t="s">
        <v>12</v>
      </c>
      <c r="D5" s="6"/>
      <c r="E5" s="18"/>
      <c r="F5" s="19"/>
      <c r="G5" s="20"/>
      <c r="H5" s="21"/>
    </row>
    <row r="6">
      <c r="A6" s="5" t="s">
        <v>13</v>
      </c>
      <c r="C6" s="6"/>
      <c r="D6" s="22"/>
      <c r="E6" s="5" t="s">
        <v>14</v>
      </c>
      <c r="F6" s="6"/>
      <c r="G6" s="23" t="s">
        <v>15</v>
      </c>
      <c r="H6" s="24"/>
    </row>
    <row r="7">
      <c r="A7" s="25" t="s">
        <v>16</v>
      </c>
      <c r="B7" s="22"/>
      <c r="C7" s="22"/>
      <c r="D7" s="26"/>
      <c r="E7" s="20"/>
      <c r="F7" s="19"/>
      <c r="G7" s="20"/>
      <c r="H7" s="27"/>
    </row>
    <row r="8">
      <c r="A8" s="28" t="s">
        <v>17</v>
      </c>
      <c r="B8" s="29"/>
      <c r="C8" s="29"/>
      <c r="D8" s="29"/>
      <c r="E8" s="5" t="s">
        <v>18</v>
      </c>
      <c r="F8" s="6"/>
      <c r="G8" s="30" t="s">
        <v>19</v>
      </c>
      <c r="H8" s="31"/>
    </row>
    <row r="9">
      <c r="A9" s="32" t="s">
        <v>20</v>
      </c>
      <c r="D9" s="33"/>
      <c r="E9" s="20"/>
      <c r="F9" s="19"/>
      <c r="G9" s="20"/>
      <c r="H9" s="21"/>
    </row>
    <row r="10">
      <c r="A10" s="23" t="s">
        <v>21</v>
      </c>
      <c r="D10" s="33"/>
      <c r="E10" s="5" t="s">
        <v>22</v>
      </c>
      <c r="F10" s="6"/>
      <c r="G10" s="34" t="s">
        <v>23</v>
      </c>
      <c r="H10" s="35"/>
    </row>
    <row r="11">
      <c r="A11" s="23" t="s">
        <v>24</v>
      </c>
      <c r="D11" s="36"/>
      <c r="E11" s="37"/>
      <c r="F11" s="19"/>
      <c r="G11" s="38" t="s">
        <v>25</v>
      </c>
      <c r="H11" s="15"/>
    </row>
    <row r="12">
      <c r="A12" s="5" t="s">
        <v>26</v>
      </c>
      <c r="C12" s="22"/>
      <c r="D12" s="22"/>
      <c r="E12" s="7" t="s">
        <v>27</v>
      </c>
      <c r="H12" s="39"/>
    </row>
    <row r="13">
      <c r="A13" s="20"/>
      <c r="B13" s="19"/>
      <c r="C13" s="19"/>
      <c r="D13" s="19"/>
      <c r="E13" s="20"/>
      <c r="H13" s="21"/>
    </row>
    <row r="14">
      <c r="A14" s="40" t="s">
        <v>28</v>
      </c>
      <c r="B14" s="40" t="s">
        <v>29</v>
      </c>
      <c r="C14" s="41" t="s">
        <v>30</v>
      </c>
      <c r="D14" s="42" t="s">
        <v>31</v>
      </c>
      <c r="E14" s="40" t="s">
        <v>32</v>
      </c>
      <c r="F14" s="41" t="s">
        <v>33</v>
      </c>
      <c r="G14" s="40" t="s">
        <v>34</v>
      </c>
      <c r="H14" s="41" t="s">
        <v>35</v>
      </c>
    </row>
    <row r="15">
      <c r="A15" s="43">
        <v>1.0</v>
      </c>
      <c r="B15" s="53" t="s">
        <v>39</v>
      </c>
      <c r="C15" s="54">
        <v>3808.0</v>
      </c>
      <c r="D15" s="55">
        <v>0.18</v>
      </c>
      <c r="E15" s="56">
        <v>998.0</v>
      </c>
      <c r="F15" s="57">
        <v>1.0</v>
      </c>
      <c r="G15" s="58" t="s">
        <v>40</v>
      </c>
      <c r="H15" s="194">
        <f t="shared" ref="H15:H20" si="1">F15*E15</f>
        <v>998</v>
      </c>
    </row>
    <row r="16">
      <c r="A16" s="50">
        <v>2.0</v>
      </c>
      <c r="B16" s="53" t="s">
        <v>137</v>
      </c>
      <c r="C16" s="54">
        <v>3402.0</v>
      </c>
      <c r="D16" s="55">
        <v>0.18</v>
      </c>
      <c r="E16" s="56">
        <v>750.0</v>
      </c>
      <c r="F16" s="57">
        <v>1.0</v>
      </c>
      <c r="G16" s="58" t="s">
        <v>40</v>
      </c>
      <c r="H16" s="194">
        <f t="shared" si="1"/>
        <v>750</v>
      </c>
    </row>
    <row r="17">
      <c r="A17" s="50">
        <v>3.0</v>
      </c>
      <c r="B17" s="53" t="s">
        <v>44</v>
      </c>
      <c r="C17" s="54">
        <v>9603.0</v>
      </c>
      <c r="D17" s="66">
        <v>0.0</v>
      </c>
      <c r="E17" s="56">
        <v>140.0</v>
      </c>
      <c r="F17" s="57">
        <v>5.0</v>
      </c>
      <c r="G17" s="58" t="s">
        <v>37</v>
      </c>
      <c r="H17" s="194">
        <f t="shared" si="1"/>
        <v>700</v>
      </c>
    </row>
    <row r="18">
      <c r="A18" s="50">
        <v>4.0</v>
      </c>
      <c r="B18" s="195" t="s">
        <v>138</v>
      </c>
      <c r="C18" s="196">
        <v>9603.0</v>
      </c>
      <c r="D18" s="61">
        <v>0.0</v>
      </c>
      <c r="E18" s="92">
        <v>110.0</v>
      </c>
      <c r="F18" s="57">
        <v>5.0</v>
      </c>
      <c r="G18" s="58" t="s">
        <v>37</v>
      </c>
      <c r="H18" s="194">
        <f t="shared" si="1"/>
        <v>550</v>
      </c>
    </row>
    <row r="19">
      <c r="A19" s="50">
        <v>5.0</v>
      </c>
      <c r="B19" s="53" t="s">
        <v>50</v>
      </c>
      <c r="C19" s="58">
        <v>9603.0</v>
      </c>
      <c r="D19" s="75">
        <v>0.18</v>
      </c>
      <c r="E19" s="197">
        <v>1125.0</v>
      </c>
      <c r="F19" s="57">
        <v>2.0</v>
      </c>
      <c r="G19" s="58" t="s">
        <v>37</v>
      </c>
      <c r="H19" s="194">
        <f t="shared" si="1"/>
        <v>2250</v>
      </c>
    </row>
    <row r="20">
      <c r="A20" s="50">
        <v>6.0</v>
      </c>
      <c r="B20" s="53" t="s">
        <v>139</v>
      </c>
      <c r="C20" s="64">
        <v>3926.0</v>
      </c>
      <c r="D20" s="55">
        <v>0.18</v>
      </c>
      <c r="E20" s="123">
        <v>120.0</v>
      </c>
      <c r="F20" s="57">
        <v>13.0</v>
      </c>
      <c r="G20" s="58" t="s">
        <v>37</v>
      </c>
      <c r="H20" s="198">
        <f t="shared" si="1"/>
        <v>1560</v>
      </c>
    </row>
    <row r="21" ht="15.75" customHeight="1">
      <c r="A21" s="50"/>
      <c r="B21" s="191"/>
      <c r="C21" s="192"/>
      <c r="D21" s="190"/>
      <c r="E21" s="193"/>
      <c r="F21" s="156"/>
      <c r="G21" s="157"/>
      <c r="H21" s="157"/>
    </row>
    <row r="22" ht="15.75" customHeight="1">
      <c r="A22" s="50"/>
      <c r="B22" s="63"/>
      <c r="C22" s="86"/>
      <c r="D22" s="190"/>
      <c r="E22" s="86"/>
      <c r="F22" s="156"/>
      <c r="G22" s="157"/>
      <c r="H22" s="157"/>
    </row>
    <row r="23" ht="12.75" customHeight="1">
      <c r="A23" s="50"/>
      <c r="B23" s="63"/>
      <c r="C23" s="86"/>
      <c r="D23" s="81"/>
      <c r="E23" s="86"/>
      <c r="F23" s="156"/>
      <c r="G23" s="157"/>
      <c r="H23" s="157"/>
    </row>
    <row r="24" ht="12.75" customHeight="1">
      <c r="A24" s="50"/>
      <c r="B24" s="63"/>
      <c r="C24" s="86"/>
      <c r="D24" s="81"/>
      <c r="E24" s="86"/>
      <c r="F24" s="156"/>
      <c r="G24" s="157"/>
      <c r="H24" s="157"/>
    </row>
    <row r="25" ht="15.75" customHeight="1">
      <c r="A25" s="50"/>
      <c r="B25" s="63"/>
      <c r="C25" s="157"/>
      <c r="D25" s="190"/>
      <c r="E25" s="182"/>
      <c r="F25" s="156"/>
      <c r="G25" s="157"/>
      <c r="H25" s="157"/>
    </row>
    <row r="26" ht="15.75" customHeight="1">
      <c r="A26" s="102"/>
      <c r="B26" s="63"/>
      <c r="C26" s="80"/>
      <c r="D26" s="81"/>
      <c r="E26" s="82"/>
      <c r="F26" s="83"/>
      <c r="G26" s="84"/>
      <c r="H26" s="58"/>
    </row>
    <row r="27" ht="15.75" customHeight="1">
      <c r="A27" s="79"/>
      <c r="B27" s="63"/>
      <c r="C27" s="80"/>
      <c r="D27" s="81"/>
      <c r="E27" s="82"/>
      <c r="F27" s="83"/>
      <c r="G27" s="84"/>
      <c r="H27" s="58"/>
    </row>
    <row r="28" ht="15.75" customHeight="1">
      <c r="A28" s="79"/>
      <c r="B28" s="85"/>
      <c r="C28" s="86"/>
      <c r="D28" s="81"/>
      <c r="E28" s="82"/>
      <c r="F28" s="83"/>
      <c r="G28" s="84"/>
      <c r="H28" s="58"/>
    </row>
    <row r="29" ht="15.75" customHeight="1">
      <c r="A29" s="87"/>
      <c r="B29" s="88"/>
      <c r="C29" s="89"/>
      <c r="D29" s="90"/>
      <c r="E29" s="91"/>
      <c r="F29" s="84"/>
      <c r="G29" s="92"/>
      <c r="H29" s="63"/>
    </row>
    <row r="30" ht="15.75" customHeight="1">
      <c r="A30" s="87"/>
      <c r="B30" s="93"/>
      <c r="C30" s="57"/>
      <c r="D30" s="90"/>
      <c r="E30" s="94"/>
      <c r="F30" s="84"/>
      <c r="G30" s="84"/>
      <c r="H30" s="63"/>
    </row>
    <row r="31" ht="15.75" customHeight="1">
      <c r="A31" s="63"/>
      <c r="B31" s="95"/>
      <c r="C31" s="96"/>
      <c r="D31" s="97"/>
      <c r="E31" s="96"/>
      <c r="F31" s="98"/>
      <c r="G31" s="98"/>
      <c r="H31" s="99"/>
    </row>
    <row r="32" ht="15.75" customHeight="1">
      <c r="A32" s="28"/>
      <c r="B32" s="100" t="s">
        <v>52</v>
      </c>
      <c r="C32" s="101"/>
      <c r="D32" s="101"/>
      <c r="E32" s="28"/>
      <c r="F32" s="101"/>
      <c r="G32" s="28"/>
      <c r="H32" s="101">
        <f>SUM(H15:H31)</f>
        <v>6808</v>
      </c>
    </row>
    <row r="33" ht="15.75" customHeight="1">
      <c r="A33" s="11"/>
      <c r="B33" s="102"/>
      <c r="C33" s="63"/>
      <c r="D33" s="63"/>
      <c r="E33" s="11"/>
      <c r="F33" s="63"/>
      <c r="G33" s="11"/>
      <c r="H33" s="63"/>
    </row>
    <row r="34" ht="15.75" customHeight="1">
      <c r="A34" s="11"/>
      <c r="B34" s="102" t="s">
        <v>53</v>
      </c>
      <c r="C34" s="63"/>
      <c r="D34" s="63"/>
      <c r="E34" s="11"/>
      <c r="F34" s="63">
        <v>9.0</v>
      </c>
      <c r="G34" s="11" t="s">
        <v>54</v>
      </c>
      <c r="H34" s="104">
        <f>(H32-H25)*9%</f>
        <v>612.72</v>
      </c>
    </row>
    <row r="35" ht="15.75" customHeight="1">
      <c r="A35" s="11"/>
      <c r="B35" s="102" t="s">
        <v>55</v>
      </c>
      <c r="C35" s="63"/>
      <c r="D35" s="63"/>
      <c r="E35" s="11"/>
      <c r="F35" s="63">
        <v>9.0</v>
      </c>
      <c r="G35" s="11" t="s">
        <v>54</v>
      </c>
      <c r="H35" s="104">
        <f>(H32-H25)*9%</f>
        <v>612.72</v>
      </c>
    </row>
    <row r="36" ht="15.75" customHeight="1">
      <c r="A36" s="11"/>
      <c r="B36" s="102"/>
      <c r="C36" s="63"/>
      <c r="D36" s="63"/>
      <c r="E36" s="11"/>
      <c r="F36" s="63"/>
      <c r="G36" s="11"/>
      <c r="H36" s="104"/>
    </row>
    <row r="37" ht="15.75" customHeight="1">
      <c r="A37" s="11"/>
      <c r="B37" s="102"/>
      <c r="C37" s="63"/>
      <c r="D37" s="63"/>
      <c r="E37" s="11"/>
      <c r="F37" s="63"/>
      <c r="G37" s="11"/>
      <c r="H37" s="104"/>
    </row>
    <row r="38" ht="15.75" customHeight="1">
      <c r="A38" s="11"/>
      <c r="B38" s="102"/>
      <c r="C38" s="63"/>
      <c r="D38" s="63"/>
      <c r="E38" s="11"/>
      <c r="F38" s="63"/>
      <c r="G38" s="11"/>
      <c r="H38" s="63"/>
    </row>
    <row r="39" ht="15.75" customHeight="1">
      <c r="A39" s="11"/>
      <c r="B39" s="102"/>
      <c r="C39" s="63"/>
      <c r="D39" s="63"/>
      <c r="E39" s="11"/>
      <c r="F39" s="63"/>
      <c r="G39" s="11"/>
      <c r="H39" s="63"/>
    </row>
    <row r="40" ht="15.75" customHeight="1">
      <c r="A40" s="40"/>
      <c r="B40" s="105" t="s">
        <v>56</v>
      </c>
      <c r="C40" s="106"/>
      <c r="D40" s="107"/>
      <c r="E40" s="107"/>
      <c r="F40" s="107"/>
      <c r="G40" s="4"/>
      <c r="H40" s="160">
        <f>SUM(H34:H39)</f>
        <v>1225.44</v>
      </c>
    </row>
    <row r="41" ht="14.25" customHeight="1">
      <c r="A41" s="109" t="s">
        <v>57</v>
      </c>
      <c r="B41" s="4"/>
      <c r="C41" s="40"/>
      <c r="D41" s="110"/>
      <c r="E41" s="110"/>
      <c r="F41" s="110"/>
      <c r="G41" s="110"/>
      <c r="H41" s="111">
        <f>SUM(H32+H40)</f>
        <v>8033.44</v>
      </c>
    </row>
    <row r="42" ht="14.25" customHeight="1">
      <c r="A42" s="109" t="s">
        <v>58</v>
      </c>
      <c r="B42" s="4"/>
      <c r="C42" s="40"/>
      <c r="D42" s="110"/>
      <c r="E42" s="110"/>
      <c r="F42" s="110"/>
      <c r="G42" s="110"/>
      <c r="H42" s="111">
        <v>0.58</v>
      </c>
    </row>
    <row r="43" ht="14.25" customHeight="1">
      <c r="A43" s="109" t="s">
        <v>59</v>
      </c>
      <c r="B43" s="4"/>
      <c r="C43" s="40"/>
      <c r="D43" s="110"/>
      <c r="E43" s="110"/>
      <c r="F43" s="110"/>
      <c r="G43" s="110"/>
      <c r="H43" s="111">
        <f>H41-H42</f>
        <v>8032.86</v>
      </c>
    </row>
    <row r="44" ht="14.25" customHeight="1">
      <c r="A44" s="113" t="s">
        <v>60</v>
      </c>
      <c r="B44" s="4"/>
      <c r="C44" s="161" t="s">
        <v>149</v>
      </c>
      <c r="D44" s="107"/>
      <c r="E44" s="107"/>
      <c r="F44" s="107"/>
      <c r="G44" s="107"/>
      <c r="H44" s="4"/>
    </row>
    <row r="45" ht="15.0" customHeight="1">
      <c r="A45" s="115" t="s">
        <v>62</v>
      </c>
      <c r="B45" s="116"/>
      <c r="C45" s="116"/>
      <c r="D45" s="117"/>
      <c r="E45" s="118" t="s">
        <v>63</v>
      </c>
      <c r="F45" s="116"/>
      <c r="G45" s="116"/>
      <c r="H45" s="117"/>
    </row>
    <row r="46" ht="15.75" customHeight="1">
      <c r="A46" s="119"/>
      <c r="D46" s="33"/>
      <c r="E46" s="119"/>
      <c r="H46" s="33"/>
    </row>
    <row r="47" ht="20.25" customHeight="1">
      <c r="A47" s="120"/>
      <c r="B47" s="121"/>
      <c r="C47" s="121"/>
      <c r="D47" s="15"/>
      <c r="E47" s="119"/>
      <c r="H47" s="33"/>
    </row>
    <row r="48" ht="15.75" customHeight="1">
      <c r="A48" s="122" t="s">
        <v>64</v>
      </c>
      <c r="B48" s="116"/>
      <c r="C48" s="116"/>
      <c r="D48" s="117"/>
      <c r="E48" s="119"/>
      <c r="H48" s="33"/>
    </row>
    <row r="49" ht="8.25" customHeight="1">
      <c r="A49" s="120"/>
      <c r="B49" s="121"/>
      <c r="C49" s="121"/>
      <c r="D49" s="15"/>
      <c r="E49" s="120"/>
      <c r="F49" s="121"/>
      <c r="G49" s="121"/>
      <c r="H49" s="1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1:F1"/>
    <mergeCell ref="G1:H1"/>
    <mergeCell ref="G3:H3"/>
    <mergeCell ref="A6:B6"/>
    <mergeCell ref="A9:D9"/>
    <mergeCell ref="A10:D10"/>
    <mergeCell ref="G11:H11"/>
    <mergeCell ref="A44:B44"/>
    <mergeCell ref="A45:D47"/>
    <mergeCell ref="E45:H49"/>
    <mergeCell ref="A48:D49"/>
    <mergeCell ref="A11:C11"/>
    <mergeCell ref="A12:B12"/>
    <mergeCell ref="C40:G40"/>
    <mergeCell ref="A41:B41"/>
    <mergeCell ref="A42:B42"/>
    <mergeCell ref="A43:B43"/>
    <mergeCell ref="C44:H44"/>
  </mergeCells>
  <printOptions/>
  <pageMargins bottom="0.0" footer="0.0" header="0.0" left="0.7086614173228347" right="0.7086614173228347" top="0.6299212598425197"/>
  <pageSetup fitToHeight="0" paperSize="9" orientation="portrait"/>
  <headerFooter>
    <oddHeader>&amp;CTAX INVOICE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6.29"/>
    <col customWidth="1" min="3" max="3" width="8.57"/>
    <col customWidth="1" min="4" max="4" width="8.29"/>
    <col customWidth="1" min="5" max="5" width="9.57"/>
    <col customWidth="1" min="6" max="6" width="14.29"/>
    <col customWidth="1" min="7" max="7" width="6.29"/>
    <col customWidth="1" min="8" max="8" width="12.43"/>
    <col customWidth="1" min="9" max="26" width="8.71"/>
  </cols>
  <sheetData>
    <row r="1">
      <c r="A1" s="1" t="s">
        <v>0</v>
      </c>
      <c r="B1" s="2"/>
      <c r="C1" s="2"/>
      <c r="D1" s="2"/>
      <c r="E1" s="161" t="s">
        <v>144</v>
      </c>
      <c r="F1" s="4"/>
      <c r="G1" s="161" t="s">
        <v>110</v>
      </c>
      <c r="H1" s="4"/>
    </row>
    <row r="2">
      <c r="A2" s="5" t="s">
        <v>3</v>
      </c>
      <c r="B2" s="6"/>
      <c r="C2" s="6"/>
      <c r="D2" s="6"/>
      <c r="E2" s="7" t="s">
        <v>4</v>
      </c>
      <c r="F2" s="8"/>
      <c r="G2" s="122" t="s">
        <v>145</v>
      </c>
      <c r="H2" s="10"/>
    </row>
    <row r="3">
      <c r="A3" s="11" t="s">
        <v>6</v>
      </c>
      <c r="E3" s="12" t="s">
        <v>7</v>
      </c>
      <c r="F3" s="13"/>
      <c r="G3" s="162" t="s">
        <v>135</v>
      </c>
      <c r="H3" s="15"/>
    </row>
    <row r="4">
      <c r="A4" s="5" t="s">
        <v>9</v>
      </c>
      <c r="D4" s="6"/>
      <c r="E4" s="5" t="s">
        <v>10</v>
      </c>
      <c r="F4" s="6"/>
      <c r="G4" s="16" t="s">
        <v>11</v>
      </c>
      <c r="H4" s="17"/>
    </row>
    <row r="5">
      <c r="A5" s="11" t="s">
        <v>12</v>
      </c>
      <c r="D5" s="6"/>
      <c r="E5" s="18"/>
      <c r="F5" s="19"/>
      <c r="G5" s="20"/>
      <c r="H5" s="21"/>
    </row>
    <row r="6">
      <c r="A6" s="5" t="s">
        <v>13</v>
      </c>
      <c r="C6" s="6"/>
      <c r="D6" s="22"/>
      <c r="E6" s="5" t="s">
        <v>14</v>
      </c>
      <c r="F6" s="6"/>
      <c r="G6" s="23" t="s">
        <v>15</v>
      </c>
      <c r="H6" s="24"/>
    </row>
    <row r="7">
      <c r="A7" s="25" t="s">
        <v>16</v>
      </c>
      <c r="B7" s="22"/>
      <c r="C7" s="22"/>
      <c r="D7" s="26"/>
      <c r="E7" s="20"/>
      <c r="F7" s="19"/>
      <c r="G7" s="20"/>
      <c r="H7" s="27"/>
    </row>
    <row r="8">
      <c r="A8" s="28" t="s">
        <v>17</v>
      </c>
      <c r="B8" s="29"/>
      <c r="C8" s="29"/>
      <c r="D8" s="29"/>
      <c r="E8" s="5" t="s">
        <v>18</v>
      </c>
      <c r="F8" s="6"/>
      <c r="G8" s="30" t="s">
        <v>19</v>
      </c>
      <c r="H8" s="31"/>
    </row>
    <row r="9">
      <c r="A9" s="32" t="s">
        <v>20</v>
      </c>
      <c r="D9" s="33"/>
      <c r="E9" s="20"/>
      <c r="F9" s="19"/>
      <c r="G9" s="20"/>
      <c r="H9" s="21"/>
    </row>
    <row r="10">
      <c r="A10" s="23" t="s">
        <v>21</v>
      </c>
      <c r="D10" s="33"/>
      <c r="E10" s="5" t="s">
        <v>22</v>
      </c>
      <c r="F10" s="6"/>
      <c r="G10" s="34" t="s">
        <v>23</v>
      </c>
      <c r="H10" s="35"/>
    </row>
    <row r="11">
      <c r="A11" s="23" t="s">
        <v>24</v>
      </c>
      <c r="D11" s="36"/>
      <c r="E11" s="37"/>
      <c r="F11" s="19"/>
      <c r="G11" s="38" t="s">
        <v>25</v>
      </c>
      <c r="H11" s="15"/>
    </row>
    <row r="12">
      <c r="A12" s="5" t="s">
        <v>26</v>
      </c>
      <c r="C12" s="22"/>
      <c r="D12" s="22"/>
      <c r="E12" s="7" t="s">
        <v>27</v>
      </c>
      <c r="H12" s="39"/>
    </row>
    <row r="13">
      <c r="A13" s="20"/>
      <c r="B13" s="19"/>
      <c r="C13" s="19"/>
      <c r="D13" s="19"/>
      <c r="E13" s="20"/>
      <c r="H13" s="21"/>
    </row>
    <row r="14">
      <c r="A14" s="40" t="s">
        <v>28</v>
      </c>
      <c r="B14" s="40" t="s">
        <v>29</v>
      </c>
      <c r="C14" s="41" t="s">
        <v>30</v>
      </c>
      <c r="D14" s="42" t="s">
        <v>31</v>
      </c>
      <c r="E14" s="40" t="s">
        <v>32</v>
      </c>
      <c r="F14" s="41" t="s">
        <v>33</v>
      </c>
      <c r="G14" s="40" t="s">
        <v>34</v>
      </c>
      <c r="H14" s="41" t="s">
        <v>35</v>
      </c>
    </row>
    <row r="15">
      <c r="A15" s="43">
        <v>1.0</v>
      </c>
      <c r="B15" s="53" t="s">
        <v>39</v>
      </c>
      <c r="C15" s="54">
        <v>3808.0</v>
      </c>
      <c r="D15" s="55">
        <v>0.18</v>
      </c>
      <c r="E15" s="56">
        <v>998.0</v>
      </c>
      <c r="F15" s="57">
        <v>1.0</v>
      </c>
      <c r="G15" s="58" t="s">
        <v>40</v>
      </c>
      <c r="H15" s="194">
        <f t="shared" ref="H15:H20" si="1">F15*E15</f>
        <v>998</v>
      </c>
    </row>
    <row r="16">
      <c r="A16" s="50">
        <v>2.0</v>
      </c>
      <c r="B16" s="53" t="s">
        <v>137</v>
      </c>
      <c r="C16" s="54">
        <v>3402.0</v>
      </c>
      <c r="D16" s="55">
        <v>0.18</v>
      </c>
      <c r="E16" s="56">
        <v>750.0</v>
      </c>
      <c r="F16" s="57">
        <v>1.0</v>
      </c>
      <c r="G16" s="58" t="s">
        <v>40</v>
      </c>
      <c r="H16" s="194">
        <f t="shared" si="1"/>
        <v>750</v>
      </c>
    </row>
    <row r="17">
      <c r="A17" s="50">
        <v>3.0</v>
      </c>
      <c r="B17" s="53" t="s">
        <v>44</v>
      </c>
      <c r="C17" s="54">
        <v>9603.0</v>
      </c>
      <c r="D17" s="66">
        <v>0.0</v>
      </c>
      <c r="E17" s="56">
        <v>140.0</v>
      </c>
      <c r="F17" s="57">
        <v>5.0</v>
      </c>
      <c r="G17" s="58" t="s">
        <v>37</v>
      </c>
      <c r="H17" s="194">
        <f t="shared" si="1"/>
        <v>700</v>
      </c>
    </row>
    <row r="18">
      <c r="A18" s="50">
        <v>4.0</v>
      </c>
      <c r="B18" s="195" t="s">
        <v>138</v>
      </c>
      <c r="C18" s="196">
        <v>9603.0</v>
      </c>
      <c r="D18" s="61">
        <v>0.0</v>
      </c>
      <c r="E18" s="92">
        <v>110.0</v>
      </c>
      <c r="F18" s="57">
        <v>5.0</v>
      </c>
      <c r="G18" s="58" t="s">
        <v>37</v>
      </c>
      <c r="H18" s="194">
        <f t="shared" si="1"/>
        <v>550</v>
      </c>
    </row>
    <row r="19">
      <c r="A19" s="50">
        <v>5.0</v>
      </c>
      <c r="B19" s="53" t="s">
        <v>50</v>
      </c>
      <c r="C19" s="58">
        <v>9603.0</v>
      </c>
      <c r="D19" s="75">
        <v>0.18</v>
      </c>
      <c r="E19" s="197">
        <v>1125.0</v>
      </c>
      <c r="F19" s="57">
        <v>2.0</v>
      </c>
      <c r="G19" s="58" t="s">
        <v>37</v>
      </c>
      <c r="H19" s="194">
        <f t="shared" si="1"/>
        <v>2250</v>
      </c>
    </row>
    <row r="20">
      <c r="A20" s="50">
        <v>6.0</v>
      </c>
      <c r="B20" s="53" t="s">
        <v>139</v>
      </c>
      <c r="C20" s="64">
        <v>3926.0</v>
      </c>
      <c r="D20" s="55">
        <v>0.18</v>
      </c>
      <c r="E20" s="123">
        <v>120.0</v>
      </c>
      <c r="F20" s="57">
        <v>13.0</v>
      </c>
      <c r="G20" s="58" t="s">
        <v>37</v>
      </c>
      <c r="H20" s="198">
        <f t="shared" si="1"/>
        <v>1560</v>
      </c>
    </row>
    <row r="21" ht="15.75" customHeight="1">
      <c r="A21" s="50"/>
      <c r="B21" s="191"/>
      <c r="C21" s="192"/>
      <c r="D21" s="190"/>
      <c r="E21" s="193"/>
      <c r="F21" s="156"/>
      <c r="G21" s="157"/>
      <c r="H21" s="157"/>
    </row>
    <row r="22" ht="15.75" customHeight="1">
      <c r="A22" s="50"/>
      <c r="B22" s="63"/>
      <c r="C22" s="86"/>
      <c r="D22" s="190"/>
      <c r="E22" s="86"/>
      <c r="F22" s="156"/>
      <c r="G22" s="157"/>
      <c r="H22" s="157"/>
    </row>
    <row r="23" ht="12.75" customHeight="1">
      <c r="A23" s="50"/>
      <c r="B23" s="63"/>
      <c r="C23" s="86"/>
      <c r="D23" s="81"/>
      <c r="E23" s="86"/>
      <c r="F23" s="156"/>
      <c r="G23" s="157"/>
      <c r="H23" s="157"/>
    </row>
    <row r="24" ht="12.75" customHeight="1">
      <c r="A24" s="50"/>
      <c r="B24" s="63"/>
      <c r="C24" s="86"/>
      <c r="D24" s="81"/>
      <c r="E24" s="86"/>
      <c r="F24" s="156"/>
      <c r="G24" s="157"/>
      <c r="H24" s="157"/>
    </row>
    <row r="25" ht="15.75" customHeight="1">
      <c r="A25" s="50"/>
      <c r="B25" s="63"/>
      <c r="C25" s="157"/>
      <c r="D25" s="190"/>
      <c r="E25" s="182"/>
      <c r="F25" s="156"/>
      <c r="G25" s="157"/>
      <c r="H25" s="157"/>
    </row>
    <row r="26" ht="15.75" customHeight="1">
      <c r="A26" s="102"/>
      <c r="B26" s="63"/>
      <c r="C26" s="80"/>
      <c r="D26" s="81"/>
      <c r="E26" s="82"/>
      <c r="F26" s="83"/>
      <c r="G26" s="84"/>
      <c r="H26" s="58"/>
    </row>
    <row r="27" ht="15.75" customHeight="1">
      <c r="A27" s="79"/>
      <c r="B27" s="63"/>
      <c r="C27" s="80"/>
      <c r="D27" s="81"/>
      <c r="E27" s="82"/>
      <c r="F27" s="83"/>
      <c r="G27" s="84"/>
      <c r="H27" s="58"/>
    </row>
    <row r="28" ht="15.75" customHeight="1">
      <c r="A28" s="79"/>
      <c r="B28" s="85"/>
      <c r="C28" s="86"/>
      <c r="D28" s="81"/>
      <c r="E28" s="82"/>
      <c r="F28" s="83"/>
      <c r="G28" s="84"/>
      <c r="H28" s="58"/>
    </row>
    <row r="29" ht="15.75" customHeight="1">
      <c r="A29" s="87"/>
      <c r="B29" s="88"/>
      <c r="C29" s="89"/>
      <c r="D29" s="90"/>
      <c r="E29" s="91"/>
      <c r="F29" s="84"/>
      <c r="G29" s="92"/>
      <c r="H29" s="63"/>
    </row>
    <row r="30" ht="15.75" customHeight="1">
      <c r="A30" s="87"/>
      <c r="B30" s="93"/>
      <c r="C30" s="57"/>
      <c r="D30" s="90"/>
      <c r="E30" s="94"/>
      <c r="F30" s="84"/>
      <c r="G30" s="84"/>
      <c r="H30" s="63"/>
    </row>
    <row r="31" ht="15.75" customHeight="1">
      <c r="A31" s="63"/>
      <c r="B31" s="95"/>
      <c r="C31" s="96"/>
      <c r="D31" s="97"/>
      <c r="E31" s="96"/>
      <c r="F31" s="98"/>
      <c r="G31" s="98"/>
      <c r="H31" s="99"/>
    </row>
    <row r="32" ht="15.75" customHeight="1">
      <c r="A32" s="28"/>
      <c r="B32" s="100" t="s">
        <v>52</v>
      </c>
      <c r="C32" s="101"/>
      <c r="D32" s="101"/>
      <c r="E32" s="28"/>
      <c r="F32" s="101"/>
      <c r="G32" s="28"/>
      <c r="H32" s="101">
        <f>SUM(H15:H31)</f>
        <v>6808</v>
      </c>
    </row>
    <row r="33" ht="15.75" customHeight="1">
      <c r="A33" s="11"/>
      <c r="B33" s="102"/>
      <c r="C33" s="63"/>
      <c r="D33" s="63"/>
      <c r="E33" s="11"/>
      <c r="F33" s="63"/>
      <c r="G33" s="11"/>
      <c r="H33" s="63"/>
    </row>
    <row r="34" ht="15.75" customHeight="1">
      <c r="A34" s="11"/>
      <c r="B34" s="102" t="s">
        <v>53</v>
      </c>
      <c r="C34" s="63"/>
      <c r="D34" s="63"/>
      <c r="E34" s="11"/>
      <c r="F34" s="63">
        <v>9.0</v>
      </c>
      <c r="G34" s="11" t="s">
        <v>54</v>
      </c>
      <c r="H34" s="104">
        <f>(H32-H25)*9%</f>
        <v>612.72</v>
      </c>
    </row>
    <row r="35" ht="15.75" customHeight="1">
      <c r="A35" s="11"/>
      <c r="B35" s="102" t="s">
        <v>55</v>
      </c>
      <c r="C35" s="63"/>
      <c r="D35" s="63"/>
      <c r="E35" s="11"/>
      <c r="F35" s="63">
        <v>9.0</v>
      </c>
      <c r="G35" s="11" t="s">
        <v>54</v>
      </c>
      <c r="H35" s="104">
        <f>(H32-H25)*9%</f>
        <v>612.72</v>
      </c>
    </row>
    <row r="36" ht="15.75" customHeight="1">
      <c r="A36" s="11"/>
      <c r="B36" s="102"/>
      <c r="C36" s="63"/>
      <c r="D36" s="63"/>
      <c r="E36" s="11"/>
      <c r="F36" s="63"/>
      <c r="G36" s="11"/>
      <c r="H36" s="104"/>
    </row>
    <row r="37" ht="15.75" customHeight="1">
      <c r="A37" s="11"/>
      <c r="B37" s="102"/>
      <c r="C37" s="63"/>
      <c r="D37" s="63"/>
      <c r="E37" s="11"/>
      <c r="F37" s="63"/>
      <c r="G37" s="11"/>
      <c r="H37" s="104"/>
    </row>
    <row r="38" ht="15.75" customHeight="1">
      <c r="A38" s="11"/>
      <c r="B38" s="102"/>
      <c r="C38" s="63"/>
      <c r="D38" s="63"/>
      <c r="E38" s="11"/>
      <c r="F38" s="63"/>
      <c r="G38" s="11"/>
      <c r="H38" s="63"/>
    </row>
    <row r="39" ht="15.75" customHeight="1">
      <c r="A39" s="11"/>
      <c r="B39" s="102"/>
      <c r="C39" s="63"/>
      <c r="D39" s="63"/>
      <c r="E39" s="11"/>
      <c r="F39" s="63"/>
      <c r="G39" s="11"/>
      <c r="H39" s="63"/>
    </row>
    <row r="40" ht="15.75" customHeight="1">
      <c r="A40" s="40"/>
      <c r="B40" s="105" t="s">
        <v>56</v>
      </c>
      <c r="C40" s="106"/>
      <c r="D40" s="107"/>
      <c r="E40" s="107"/>
      <c r="F40" s="107"/>
      <c r="G40" s="4"/>
      <c r="H40" s="160">
        <f>SUM(H34:H39)</f>
        <v>1225.44</v>
      </c>
    </row>
    <row r="41" ht="14.25" customHeight="1">
      <c r="A41" s="109" t="s">
        <v>57</v>
      </c>
      <c r="B41" s="4"/>
      <c r="C41" s="40"/>
      <c r="D41" s="110"/>
      <c r="E41" s="110"/>
      <c r="F41" s="110"/>
      <c r="G41" s="110"/>
      <c r="H41" s="111">
        <f>SUM(H32+H40)</f>
        <v>8033.44</v>
      </c>
    </row>
    <row r="42" ht="14.25" customHeight="1">
      <c r="A42" s="109" t="s">
        <v>58</v>
      </c>
      <c r="B42" s="4"/>
      <c r="C42" s="40"/>
      <c r="D42" s="110"/>
      <c r="E42" s="110"/>
      <c r="F42" s="110"/>
      <c r="G42" s="110"/>
      <c r="H42" s="111">
        <v>0.58</v>
      </c>
    </row>
    <row r="43" ht="14.25" customHeight="1">
      <c r="A43" s="109" t="s">
        <v>59</v>
      </c>
      <c r="B43" s="4"/>
      <c r="C43" s="40"/>
      <c r="D43" s="110"/>
      <c r="E43" s="110"/>
      <c r="F43" s="110"/>
      <c r="G43" s="110"/>
      <c r="H43" s="111">
        <f>H41-H42</f>
        <v>8032.86</v>
      </c>
    </row>
    <row r="44" ht="14.25" customHeight="1">
      <c r="A44" s="113" t="s">
        <v>60</v>
      </c>
      <c r="B44" s="4"/>
      <c r="C44" s="161" t="s">
        <v>149</v>
      </c>
      <c r="D44" s="107"/>
      <c r="E44" s="107"/>
      <c r="F44" s="107"/>
      <c r="G44" s="107"/>
      <c r="H44" s="4"/>
    </row>
    <row r="45" ht="15.0" customHeight="1">
      <c r="A45" s="115" t="s">
        <v>62</v>
      </c>
      <c r="B45" s="116"/>
      <c r="C45" s="116"/>
      <c r="D45" s="117"/>
      <c r="E45" s="118" t="s">
        <v>63</v>
      </c>
      <c r="F45" s="116"/>
      <c r="G45" s="116"/>
      <c r="H45" s="117"/>
    </row>
    <row r="46" ht="15.75" customHeight="1">
      <c r="A46" s="119"/>
      <c r="D46" s="33"/>
      <c r="E46" s="119"/>
      <c r="H46" s="33"/>
    </row>
    <row r="47" ht="20.25" customHeight="1">
      <c r="A47" s="120"/>
      <c r="B47" s="121"/>
      <c r="C47" s="121"/>
      <c r="D47" s="15"/>
      <c r="E47" s="119"/>
      <c r="H47" s="33"/>
    </row>
    <row r="48" ht="15.75" customHeight="1">
      <c r="A48" s="122" t="s">
        <v>64</v>
      </c>
      <c r="B48" s="116"/>
      <c r="C48" s="116"/>
      <c r="D48" s="117"/>
      <c r="E48" s="119"/>
      <c r="H48" s="33"/>
    </row>
    <row r="49" ht="8.25" customHeight="1">
      <c r="A49" s="120"/>
      <c r="B49" s="121"/>
      <c r="C49" s="121"/>
      <c r="D49" s="15"/>
      <c r="E49" s="120"/>
      <c r="F49" s="121"/>
      <c r="G49" s="121"/>
      <c r="H49" s="1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1:C11"/>
    <mergeCell ref="A12:B12"/>
    <mergeCell ref="E1:F1"/>
    <mergeCell ref="G1:H1"/>
    <mergeCell ref="G3:H3"/>
    <mergeCell ref="A6:B6"/>
    <mergeCell ref="A9:D9"/>
    <mergeCell ref="A10:D10"/>
    <mergeCell ref="G11:H11"/>
    <mergeCell ref="A44:B44"/>
    <mergeCell ref="C44:H44"/>
    <mergeCell ref="E45:H49"/>
    <mergeCell ref="A48:D49"/>
    <mergeCell ref="C40:G40"/>
    <mergeCell ref="A41:B41"/>
    <mergeCell ref="A42:B42"/>
    <mergeCell ref="A43:B43"/>
    <mergeCell ref="A45:D47"/>
  </mergeCells>
  <printOptions/>
  <pageMargins bottom="0.0" footer="0.0" header="0.0" left="0.7086614173228347" right="0.7086614173228347" top="0.6299212598425197"/>
  <pageSetup fitToHeight="0" paperSize="9" orientation="portrait"/>
  <headerFooter>
    <oddHeader>&amp;CTAX INVOICE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Harimira</dc:creator>
</cp:coreProperties>
</file>